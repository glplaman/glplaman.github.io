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D:\glplaman.github.io\spm\file\2026\"/>
    </mc:Choice>
  </mc:AlternateContent>
  <xr:revisionPtr revIDLastSave="0" documentId="13_ncr:1_{1F85141E-980D-4586-8055-2DD4EE10D922}" xr6:coauthVersionLast="47" xr6:coauthVersionMax="47" xr10:uidLastSave="{00000000-0000-0000-0000-000000000000}"/>
  <bookViews>
    <workbookView xWindow="-120" yWindow="-120" windowWidth="29040" windowHeight="15720" xr2:uid="{72B5AE5B-C30A-4D97-B3E3-66A088229EDB}"/>
  </bookViews>
  <sheets>
    <sheet name="Sheet1" sheetId="1" r:id="rId1"/>
    <sheet name="柱形图" sheetId="2" r:id="rId2"/>
    <sheet name="Sheet3" sheetId="3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J40" i="1" l="1"/>
  <c r="J41" i="1"/>
  <c r="M41" i="1" s="1"/>
  <c r="J42" i="1"/>
  <c r="J43" i="1"/>
  <c r="M43" i="1" s="1"/>
  <c r="J44" i="1"/>
  <c r="M44" i="1" s="1"/>
  <c r="J29" i="1"/>
  <c r="M29" i="1" s="1"/>
  <c r="J30" i="1"/>
  <c r="M30" i="1" s="1"/>
  <c r="J31" i="1"/>
  <c r="M31" i="1" s="1"/>
  <c r="J32" i="1"/>
  <c r="J33" i="1"/>
  <c r="M33" i="1" s="1"/>
  <c r="J34" i="1"/>
  <c r="J35" i="1"/>
  <c r="J36" i="1"/>
  <c r="M36" i="1" s="1"/>
  <c r="J37" i="1"/>
  <c r="M37" i="1" s="1"/>
  <c r="J38" i="1"/>
  <c r="M38" i="1" s="1"/>
  <c r="J39" i="1"/>
  <c r="M39" i="1" s="1"/>
  <c r="J7" i="1"/>
  <c r="M7" i="1" s="1"/>
  <c r="J8" i="1"/>
  <c r="J9" i="1"/>
  <c r="J10" i="1"/>
  <c r="J11" i="1"/>
  <c r="J12" i="1"/>
  <c r="J13" i="1"/>
  <c r="M13" i="1" s="1"/>
  <c r="J14" i="1"/>
  <c r="J15" i="1"/>
  <c r="M15" i="1" s="1"/>
  <c r="J16" i="1"/>
  <c r="J17" i="1"/>
  <c r="J18" i="1"/>
  <c r="J19" i="1"/>
  <c r="J20" i="1"/>
  <c r="J21" i="1"/>
  <c r="M21" i="1" s="1"/>
  <c r="J22" i="1"/>
  <c r="J23" i="1"/>
  <c r="M23" i="1" s="1"/>
  <c r="J24" i="1"/>
  <c r="J25" i="1"/>
  <c r="J26" i="1"/>
  <c r="J27" i="1"/>
  <c r="J28" i="1"/>
  <c r="J6" i="1"/>
  <c r="M6" i="1" s="1"/>
  <c r="U42" i="1"/>
  <c r="U43" i="1"/>
  <c r="U44" i="1"/>
  <c r="U31" i="1"/>
  <c r="U32" i="1"/>
  <c r="U33" i="1"/>
  <c r="U34" i="1"/>
  <c r="U35" i="1"/>
  <c r="U36" i="1"/>
  <c r="U37" i="1"/>
  <c r="U38" i="1"/>
  <c r="U39" i="1"/>
  <c r="U40" i="1"/>
  <c r="U41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6" i="1"/>
  <c r="M10" i="2"/>
  <c r="M9" i="2"/>
  <c r="M8" i="2"/>
  <c r="M7" i="2"/>
  <c r="M6" i="2"/>
  <c r="M8" i="1"/>
  <c r="M9" i="1"/>
  <c r="M10" i="1"/>
  <c r="M11" i="1"/>
  <c r="M12" i="1"/>
  <c r="M14" i="1"/>
  <c r="M16" i="1"/>
  <c r="M17" i="1"/>
  <c r="M18" i="1"/>
  <c r="M19" i="1"/>
  <c r="M20" i="1"/>
  <c r="M22" i="1"/>
  <c r="M24" i="1"/>
  <c r="M25" i="1"/>
  <c r="M26" i="1"/>
  <c r="M27" i="1"/>
  <c r="M28" i="1"/>
  <c r="M32" i="1"/>
  <c r="M34" i="1"/>
  <c r="M35" i="1"/>
  <c r="M40" i="1"/>
  <c r="M42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huawei</author>
  </authors>
  <commentList>
    <comment ref="E27" authorId="0" shapeId="0" xr:uid="{4E120CDA-3713-49B8-AC31-41C6D0EAA656}">
      <text>
        <r>
          <rPr>
            <b/>
            <sz val="9"/>
            <color indexed="81"/>
            <rFont val="宋体"/>
            <family val="3"/>
            <charset val="134"/>
          </rPr>
          <t>huawei:</t>
        </r>
        <r>
          <rPr>
            <sz val="9"/>
            <color indexed="81"/>
            <rFont val="宋体"/>
            <family val="3"/>
            <charset val="134"/>
          </rPr>
          <t xml:space="preserve">
25</t>
        </r>
      </text>
    </comment>
    <comment ref="F27" authorId="0" shapeId="0" xr:uid="{802820CC-496E-4FE1-9D77-D2E8644D89C0}">
      <text>
        <r>
          <rPr>
            <b/>
            <sz val="9"/>
            <color indexed="81"/>
            <rFont val="宋体"/>
            <family val="3"/>
            <charset val="134"/>
          </rPr>
          <t>huawei:</t>
        </r>
        <r>
          <rPr>
            <sz val="9"/>
            <color indexed="81"/>
            <rFont val="宋体"/>
            <family val="3"/>
            <charset val="134"/>
          </rPr>
          <t xml:space="preserve">
0</t>
        </r>
      </text>
    </comment>
    <comment ref="H27" authorId="0" shapeId="0" xr:uid="{A80200B1-5A03-48B5-9D2A-4561BBCE7665}">
      <text>
        <r>
          <rPr>
            <b/>
            <sz val="9"/>
            <color indexed="81"/>
            <rFont val="宋体"/>
            <family val="3"/>
            <charset val="134"/>
          </rPr>
          <t>huawei:</t>
        </r>
        <r>
          <rPr>
            <sz val="9"/>
            <color indexed="81"/>
            <rFont val="宋体"/>
            <family val="3"/>
            <charset val="134"/>
          </rPr>
          <t xml:space="preserve">
0</t>
        </r>
      </text>
    </comment>
  </commentList>
</comments>
</file>

<file path=xl/sharedStrings.xml><?xml version="1.0" encoding="utf-8"?>
<sst xmlns="http://schemas.openxmlformats.org/spreadsheetml/2006/main" count="161" uniqueCount="161">
  <si>
    <t>广州华立学院学生平时成绩登记表</t>
  </si>
  <si>
    <t>序号</t>
  </si>
  <si>
    <t>学号</t>
  </si>
  <si>
    <t>姓名</t>
  </si>
  <si>
    <t>平时成绩</t>
  </si>
  <si>
    <t>平时总评成绩</t>
  </si>
  <si>
    <t>成    绩    总    结</t>
  </si>
  <si>
    <t>应考人数</t>
  </si>
  <si>
    <t>缺考人数</t>
  </si>
  <si>
    <t>100-90分</t>
  </si>
  <si>
    <t>89-80分</t>
  </si>
  <si>
    <t>79-70分</t>
  </si>
  <si>
    <t>69-60分</t>
  </si>
  <si>
    <t>59分及其以下</t>
  </si>
  <si>
    <t>平均分</t>
  </si>
  <si>
    <t>教师签字：</t>
  </si>
  <si>
    <t>专业负责人（教研室主任）签字：</t>
  </si>
  <si>
    <t>开课学期：2025-2026-2</t>
  </si>
  <si>
    <t>课程：软件项目管理</t>
  </si>
  <si>
    <t>教师：张树彬</t>
  </si>
  <si>
    <t>1</t>
  </si>
  <si>
    <t>5123210105225</t>
  </si>
  <si>
    <t>林永先</t>
  </si>
  <si>
    <t>2</t>
  </si>
  <si>
    <t>5123210105228</t>
  </si>
  <si>
    <t>莫国锐</t>
  </si>
  <si>
    <t>3</t>
  </si>
  <si>
    <t>5123210105245</t>
  </si>
  <si>
    <t>路守旗</t>
  </si>
  <si>
    <t>4</t>
  </si>
  <si>
    <t>5123210105246</t>
  </si>
  <si>
    <t>孙磊</t>
  </si>
  <si>
    <t>5</t>
  </si>
  <si>
    <t>5123210105250</t>
  </si>
  <si>
    <t>梁涵迪</t>
  </si>
  <si>
    <t>6</t>
  </si>
  <si>
    <t>5123210105254</t>
  </si>
  <si>
    <t>杨伯普</t>
  </si>
  <si>
    <t>7</t>
  </si>
  <si>
    <t>5123210105259</t>
  </si>
  <si>
    <t>袁帅</t>
  </si>
  <si>
    <t>8</t>
  </si>
  <si>
    <t>5123210105262</t>
  </si>
  <si>
    <t>张瀚之</t>
  </si>
  <si>
    <t>9</t>
  </si>
  <si>
    <t>5123210105263</t>
  </si>
  <si>
    <t>张振</t>
  </si>
  <si>
    <t>10</t>
  </si>
  <si>
    <t>5123210105264</t>
  </si>
  <si>
    <t>李梦京</t>
  </si>
  <si>
    <t>11</t>
  </si>
  <si>
    <t>5123210105266</t>
  </si>
  <si>
    <t>吴浩然</t>
  </si>
  <si>
    <t>12</t>
  </si>
  <si>
    <t>5123210105267</t>
  </si>
  <si>
    <t>余秋雨</t>
  </si>
  <si>
    <t>13</t>
  </si>
  <si>
    <t>5123210105281</t>
  </si>
  <si>
    <t>汤劭瞳</t>
  </si>
  <si>
    <t>14</t>
  </si>
  <si>
    <t>5123210105285</t>
  </si>
  <si>
    <t>邓烽</t>
  </si>
  <si>
    <t>15</t>
  </si>
  <si>
    <t>5123210105323</t>
  </si>
  <si>
    <t>梁舒畅</t>
  </si>
  <si>
    <t>16</t>
  </si>
  <si>
    <t>5123210105325</t>
  </si>
  <si>
    <t>王文杰</t>
  </si>
  <si>
    <t>17</t>
  </si>
  <si>
    <t>5123210105330</t>
  </si>
  <si>
    <t>何克俊</t>
  </si>
  <si>
    <t>18</t>
  </si>
  <si>
    <t>5123210105331</t>
  </si>
  <si>
    <t>雷思远</t>
  </si>
  <si>
    <t>19</t>
  </si>
  <si>
    <t>5123210105332</t>
  </si>
  <si>
    <t>刘俸鸣</t>
  </si>
  <si>
    <t>20</t>
  </si>
  <si>
    <t>5123210105335</t>
  </si>
  <si>
    <t>熊良</t>
  </si>
  <si>
    <t>21</t>
  </si>
  <si>
    <t>5123210105337</t>
  </si>
  <si>
    <t>曾俊豪</t>
  </si>
  <si>
    <t>22</t>
  </si>
  <si>
    <t>5123210105366</t>
  </si>
  <si>
    <t>闫晨阳</t>
  </si>
  <si>
    <t>23</t>
  </si>
  <si>
    <t>5123210105368</t>
  </si>
  <si>
    <t>薛泽铜</t>
  </si>
  <si>
    <t>24</t>
  </si>
  <si>
    <t>5123210105371</t>
  </si>
  <si>
    <t>梁凯</t>
  </si>
  <si>
    <t>25</t>
  </si>
  <si>
    <t>5123210105372</t>
  </si>
  <si>
    <t>赵廷阳</t>
  </si>
  <si>
    <t>26</t>
  </si>
  <si>
    <t>5123210105387</t>
  </si>
  <si>
    <t>刘宇航</t>
  </si>
  <si>
    <t>27</t>
  </si>
  <si>
    <t>5123210105388</t>
  </si>
  <si>
    <t>陶乐逸</t>
  </si>
  <si>
    <t>28</t>
  </si>
  <si>
    <t>5123210105389</t>
  </si>
  <si>
    <t>连滨奇</t>
  </si>
  <si>
    <t>29</t>
  </si>
  <si>
    <t>5123210105392</t>
  </si>
  <si>
    <t>和丽松</t>
  </si>
  <si>
    <t>30</t>
  </si>
  <si>
    <t>5123210105393</t>
  </si>
  <si>
    <t>杨钦宇</t>
  </si>
  <si>
    <t>31</t>
  </si>
  <si>
    <t>5123210105394</t>
  </si>
  <si>
    <t>杨智茗</t>
  </si>
  <si>
    <t>32</t>
  </si>
  <si>
    <t>5123210105396</t>
  </si>
  <si>
    <t>董宁安</t>
  </si>
  <si>
    <t>33</t>
  </si>
  <si>
    <t>5123210105397</t>
  </si>
  <si>
    <t>李映羲</t>
  </si>
  <si>
    <t>34</t>
  </si>
  <si>
    <t>5123210105398</t>
  </si>
  <si>
    <t>项李睿</t>
  </si>
  <si>
    <t>35</t>
  </si>
  <si>
    <t>5123210105399</t>
  </si>
  <si>
    <t>邢意名</t>
  </si>
  <si>
    <t>36</t>
  </si>
  <si>
    <t>5223210105247</t>
  </si>
  <si>
    <t>郭菁芳</t>
  </si>
  <si>
    <t>37</t>
  </si>
  <si>
    <t>5223210105260</t>
  </si>
  <si>
    <t>曹丹丹</t>
  </si>
  <si>
    <t>38</t>
  </si>
  <si>
    <t>5223210105321</t>
  </si>
  <si>
    <t>刘荣</t>
  </si>
  <si>
    <t>39</t>
  </si>
  <si>
    <t>5223210105359</t>
  </si>
  <si>
    <t>张冉</t>
  </si>
  <si>
    <t>平均考勤</t>
    <phoneticPr fontId="24" type="noConversion"/>
  </si>
  <si>
    <t>积分</t>
    <phoneticPr fontId="24" type="noConversion"/>
  </si>
  <si>
    <t>全勤</t>
    <phoneticPr fontId="24" type="noConversion"/>
  </si>
  <si>
    <t>课堂练习</t>
    <phoneticPr fontId="24" type="noConversion"/>
  </si>
  <si>
    <t>课堂表现=平均考勤+积分+全勤</t>
    <phoneticPr fontId="24" type="noConversion"/>
  </si>
  <si>
    <t>课堂练习折算</t>
    <phoneticPr fontId="24" type="noConversion"/>
  </si>
  <si>
    <t>MAX=28</t>
  </si>
  <si>
    <t>比例=100/28</t>
    <phoneticPr fontId="24" type="noConversion"/>
  </si>
  <si>
    <t>考试</t>
    <phoneticPr fontId="24" type="noConversion"/>
  </si>
  <si>
    <t>成绩</t>
    <phoneticPr fontId="24" type="noConversion"/>
  </si>
  <si>
    <t>考试</t>
  </si>
  <si>
    <t>行标签</t>
  </si>
  <si>
    <t>总计</t>
  </si>
  <si>
    <t>&lt;60</t>
  </si>
  <si>
    <t>60-70</t>
  </si>
  <si>
    <t>70-80</t>
  </si>
  <si>
    <t>80-90</t>
  </si>
  <si>
    <t>90-100</t>
  </si>
  <si>
    <t>计数项:考试</t>
  </si>
  <si>
    <t>考勤</t>
  </si>
  <si>
    <t>作业</t>
  </si>
  <si>
    <t>课堂讨论表现</t>
  </si>
  <si>
    <t>课程练习</t>
  </si>
  <si>
    <t>反推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</si>
</sst>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"/>
    <numFmt numFmtId="177" formatCode="0_);[Red]\(0\)"/>
    <numFmt numFmtId="178" formatCode="0.0%"/>
  </numFmts>
  <fonts count="31" x14ac:knownFonts="1"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color theme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44">
    <xf numFmtId="0" fontId="0" fillId="0" borderId="0" applyFill="0"/>
    <xf numFmtId="0" fontId="10" fillId="2" borderId="8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3" fillId="0" borderId="0" applyNumberFormat="0" applyFont="0" applyFill="0" applyProtection="0"/>
    <xf numFmtId="9" fontId="23" fillId="0" borderId="0" applyFont="0" applyFill="0" applyBorder="0" applyAlignment="0" applyProtection="0">
      <alignment vertical="center"/>
    </xf>
  </cellStyleXfs>
  <cellXfs count="59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/>
    <xf numFmtId="0" fontId="0" fillId="0" borderId="0" xfId="0" applyAlignment="1">
      <alignment shrinkToFit="1"/>
    </xf>
    <xf numFmtId="0" fontId="2" fillId="0" borderId="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shrinkToFit="1"/>
    </xf>
    <xf numFmtId="0" fontId="2" fillId="0" borderId="5" xfId="0" applyFont="1" applyBorder="1" applyAlignment="1">
      <alignment horizontal="center" shrinkToFit="1"/>
    </xf>
    <xf numFmtId="0" fontId="2" fillId="0" borderId="5" xfId="0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shrinkToFit="1"/>
    </xf>
    <xf numFmtId="0" fontId="2" fillId="0" borderId="3" xfId="0" applyFont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0" fillId="0" borderId="3" xfId="0" applyBorder="1"/>
    <xf numFmtId="49" fontId="1" fillId="0" borderId="0" xfId="0" applyNumberFormat="1" applyFont="1"/>
    <xf numFmtId="0" fontId="0" fillId="0" borderId="1" xfId="0" applyBorder="1" applyAlignment="1">
      <alignment shrinkToFit="1"/>
    </xf>
    <xf numFmtId="0" fontId="0" fillId="0" borderId="1" xfId="0" applyBorder="1"/>
    <xf numFmtId="176" fontId="2" fillId="0" borderId="5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26" fillId="0" borderId="0" xfId="0" applyFont="1"/>
    <xf numFmtId="177" fontId="0" fillId="0" borderId="0" xfId="0" applyNumberFormat="1"/>
    <xf numFmtId="2" fontId="0" fillId="0" borderId="0" xfId="0" applyNumberFormat="1"/>
    <xf numFmtId="0" fontId="28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shrinkToFit="1"/>
    </xf>
    <xf numFmtId="0" fontId="0" fillId="0" borderId="6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6" xfId="0" pivotButton="1" applyBorder="1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0" xfId="0" applyBorder="1"/>
    <xf numFmtId="0" fontId="0" fillId="0" borderId="21" xfId="0" applyBorder="1" applyAlignment="1">
      <alignment horizontal="left"/>
    </xf>
    <xf numFmtId="178" fontId="0" fillId="0" borderId="0" xfId="43" applyNumberFormat="1" applyFont="1" applyAlignment="1"/>
    <xf numFmtId="1" fontId="27" fillId="0" borderId="5" xfId="0" applyNumberFormat="1" applyFont="1" applyBorder="1" applyAlignment="1">
      <alignment horizontal="center"/>
    </xf>
    <xf numFmtId="1" fontId="28" fillId="0" borderId="5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1" fontId="2" fillId="0" borderId="0" xfId="0" applyNumberFormat="1" applyFont="1" applyAlignment="1">
      <alignment horizontal="center"/>
    </xf>
  </cellXfs>
  <cellStyles count="44">
    <cellStyle name="_blankBorder" xfId="42" xr:uid="{F8A89949-8D29-4349-9E39-223BE69F0336}"/>
    <cellStyle name="20% - 强调文字颜色 1" xfId="19" xr:uid="{8BA3CDB0-DDFC-4EFD-9F82-8828E3B0CE97}"/>
    <cellStyle name="20% - 强调文字颜色 2" xfId="23" xr:uid="{CA0AC476-DDE0-4335-8CBC-3C3D8987669D}"/>
    <cellStyle name="20% - 强调文字颜色 3" xfId="27" xr:uid="{EA3A6FB4-F1A5-495F-9D63-8E031ADD01AC}"/>
    <cellStyle name="20% - 强调文字颜色 4" xfId="31" xr:uid="{BF6139DB-C3F2-4B8D-AE7E-0380FE13A245}"/>
    <cellStyle name="20% - 强调文字颜色 5" xfId="35" xr:uid="{872BDBD9-E56A-4B4A-BDC0-A09208A00953}"/>
    <cellStyle name="20% - 强调文字颜色 6" xfId="39" xr:uid="{F466D23D-6BF9-4963-950C-5B1FEC460F84}"/>
    <cellStyle name="40% - 强调文字颜色 1" xfId="20" xr:uid="{446A4DA8-18FF-4058-A9B8-C6875812BCFD}"/>
    <cellStyle name="40% - 强调文字颜色 2" xfId="24" xr:uid="{947B5BE6-6FAB-45B6-9952-E5F457F43A9F}"/>
    <cellStyle name="40% - 强调文字颜色 3" xfId="28" xr:uid="{7451B392-488A-45F6-97F9-9CA21C27A367}"/>
    <cellStyle name="40% - 强调文字颜色 4" xfId="32" xr:uid="{F07570BD-2DD2-401F-A340-5B92FA44C6C9}"/>
    <cellStyle name="40% - 强调文字颜色 5" xfId="36" xr:uid="{3C4CB281-92CE-48AB-A83A-0913DF4E010B}"/>
    <cellStyle name="40% - 强调文字颜色 6" xfId="40" xr:uid="{061FEFCA-76FD-4EE7-9AE7-A6C9941D536A}"/>
    <cellStyle name="60% - 强调文字颜色 1" xfId="21" xr:uid="{F8B0C74E-064C-43A1-A8BE-A5309FF8C543}"/>
    <cellStyle name="60% - 强调文字颜色 2" xfId="25" xr:uid="{52D3BB40-7DF0-4A7F-BD23-18B3AC5751F5}"/>
    <cellStyle name="60% - 强调文字颜色 3" xfId="29" xr:uid="{3F6DD8C8-2DAA-4F33-A591-6BDF6158D685}"/>
    <cellStyle name="60% - 强调文字颜色 4" xfId="33" xr:uid="{348428E3-9852-4543-9D8A-0F1C463449FB}"/>
    <cellStyle name="60% - 强调文字颜色 5" xfId="37" xr:uid="{5470AF4B-7998-4FC9-8326-E114FFE54223}"/>
    <cellStyle name="60% - 强调文字颜色 6" xfId="41" xr:uid="{3C9C5F9F-50DB-465B-9DF5-A26368D25DD9}"/>
    <cellStyle name="百分比" xfId="43" builtinId="5"/>
    <cellStyle name="标题" xfId="3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6" builtinId="27" customBuiltin="1"/>
    <cellStyle name="常规" xfId="0" builtinId="0"/>
    <cellStyle name="好" xfId="15" builtinId="26" customBuiltin="1"/>
    <cellStyle name="汇总" xfId="14" builtinId="25" customBuiltin="1"/>
    <cellStyle name="计算" xfId="11" builtinId="22" customBuiltin="1"/>
    <cellStyle name="检查单元格" xfId="12" builtinId="23" customBuiltin="1"/>
    <cellStyle name="解释性文本" xfId="4" builtinId="53" customBuiltin="1"/>
    <cellStyle name="警告文本" xfId="2" builtinId="11" customBuiltin="1"/>
    <cellStyle name="链接单元格" xfId="13" builtinId="24" customBuiltin="1"/>
    <cellStyle name="强调文字颜色 1" xfId="18" xr:uid="{AB888EFD-4AC9-4F42-ABDD-9FF00505E7BE}"/>
    <cellStyle name="强调文字颜色 2" xfId="22" xr:uid="{34EC694B-96E5-45E4-869D-7F79E2F5FA15}"/>
    <cellStyle name="强调文字颜色 3" xfId="26" xr:uid="{95AABB18-4411-4D99-BC33-EFCBBEE3BEB9}"/>
    <cellStyle name="强调文字颜色 4" xfId="30" xr:uid="{4D7BBF38-9C43-4DD8-8EBA-AD4B759C7B74}"/>
    <cellStyle name="强调文字颜色 5" xfId="34" xr:uid="{639E30FC-0968-4886-B8E5-56D07BA18182}"/>
    <cellStyle name="强调文字颜色 6" xfId="38" xr:uid="{679D531C-3893-444E-9104-88015A5D93CB}"/>
    <cellStyle name="适中" xfId="17" builtinId="28" customBuiltin="1"/>
    <cellStyle name="输出" xfId="10" builtinId="21" customBuiltin="1"/>
    <cellStyle name="输入" xfId="9" builtinId="20" customBuiltin="1"/>
    <cellStyle name="注释" xfId="1" builtinId="10" customBuiltin="1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/>
        </top>
        <bottom style="thin">
          <color theme="4"/>
        </bottom>
      </border>
    </dxf>
  </dxfs>
  <tableStyles count="1" defaultTableStyle="TableStylePreset3_Accent1">
    <tableStyle name="TableStylePreset3_Accent1" pivot="0" count="7" xr9:uid="{7C299F58-90CF-49B2-BFF3-7F5924B8A947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[23计算机12班成绩登分册.xlsx]柱形图!数据透视表1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学生成绩分布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柱形图!$H$5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柱形图!$G$6:$G$11</c:f>
              <c:strCache>
                <c:ptCount val="5"/>
                <c:pt idx="0">
                  <c:v>&lt;60</c:v>
                </c:pt>
                <c:pt idx="1">
                  <c:v>60-70</c:v>
                </c:pt>
                <c:pt idx="2">
                  <c:v>70-80</c:v>
                </c:pt>
                <c:pt idx="3">
                  <c:v>80-90</c:v>
                </c:pt>
                <c:pt idx="4">
                  <c:v>90-100</c:v>
                </c:pt>
              </c:strCache>
            </c:strRef>
          </c:cat>
          <c:val>
            <c:numRef>
              <c:f>柱形图!$H$6:$H$11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9</c:v>
                </c:pt>
                <c:pt idx="3">
                  <c:v>11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3-4F5E-88D6-EF82A65B7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478543"/>
        <c:axId val="1068393967"/>
      </c:barChart>
      <c:catAx>
        <c:axId val="92147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8393967"/>
        <c:crosses val="autoZero"/>
        <c:auto val="1"/>
        <c:lblAlgn val="ctr"/>
        <c:lblOffset val="100"/>
        <c:noMultiLvlLbl val="0"/>
      </c:catAx>
      <c:valAx>
        <c:axId val="106839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147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376237</xdr:colOff>
      <xdr:row>12</xdr:row>
      <xdr:rowOff>57150</xdr:rowOff>
    </xdr:from>
    <xdr:to>
      <xdr:col>11</xdr:col>
      <xdr:colOff>452437</xdr:colOff>
      <xdr:row>27</xdr:row>
      <xdr:rowOff>85725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372C770-997C-CD2C-A458-3DADBA0AD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6218.642898611113" createdVersion="8" refreshedVersion="8" minRefreshableVersion="3" recordCount="39" xr:uid="{B94D0C11-2B5D-47BD-8F8C-25531AB8FEF3}">
  <cacheSource type="worksheet">
    <worksheetSource ref="A1:A40" sheet="柱形图"/>
  </cacheSource>
  <cacheFields count="1">
    <cacheField name="考试" numFmtId="0">
      <sharedItems containsSemiMixedTypes="0" containsString="0" containsNumber="1" minValue="51.5" maxValue="100" count="27">
        <n v="59"/>
        <n v="67"/>
        <n v="81"/>
        <n v="79"/>
        <n v="85"/>
        <n v="70"/>
        <n v="78.5"/>
        <n v="96"/>
        <n v="86"/>
        <n v="94"/>
        <n v="98"/>
        <n v="87"/>
        <n v="77"/>
        <n v="66"/>
        <n v="84.5"/>
        <n v="51.5"/>
        <n v="91"/>
        <n v="88"/>
        <n v="57"/>
        <n v="58.5"/>
        <n v="82"/>
        <n v="86.5"/>
        <n v="76"/>
        <n v="72.5"/>
        <n v="84"/>
        <n v="100"/>
        <n v="97"/>
      </sharedItems>
      <fieldGroup base="0">
        <rangePr autoStart="0" startNum="60" endNum="100" groupInterval="10"/>
        <groupItems count="6">
          <s v="&lt;60"/>
          <s v="60-70"/>
          <s v="70-80"/>
          <s v="80-90"/>
          <s v="9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7"/>
  </r>
  <r>
    <x v="13"/>
  </r>
  <r>
    <x v="14"/>
  </r>
  <r>
    <x v="15"/>
  </r>
  <r>
    <x v="16"/>
  </r>
  <r>
    <x v="17"/>
  </r>
  <r>
    <x v="12"/>
  </r>
  <r>
    <x v="12"/>
  </r>
  <r>
    <x v="18"/>
  </r>
  <r>
    <x v="19"/>
  </r>
  <r>
    <x v="20"/>
  </r>
  <r>
    <x v="1"/>
  </r>
  <r>
    <x v="8"/>
  </r>
  <r>
    <x v="2"/>
  </r>
  <r>
    <x v="16"/>
  </r>
  <r>
    <x v="21"/>
  </r>
  <r>
    <x v="22"/>
  </r>
  <r>
    <x v="9"/>
  </r>
  <r>
    <x v="22"/>
  </r>
  <r>
    <x v="23"/>
  </r>
  <r>
    <x v="24"/>
  </r>
  <r>
    <x v="9"/>
  </r>
  <r>
    <x v="16"/>
  </r>
  <r>
    <x v="10"/>
  </r>
  <r>
    <x v="25"/>
  </r>
  <r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52E65-3E2C-461A-B16E-05F7C4231C9B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G5:H11" firstHeaderRow="1" firstDataRow="1" firstDataCol="1"/>
  <pivotFields count="1">
    <pivotField axis="axisRow" dataFiel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计数项:考试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DAB5-B36F-4127-A176-F394EB350CAF}">
  <sheetPr>
    <pageSetUpPr autoPageBreaks="0"/>
  </sheetPr>
  <dimension ref="A1:U51"/>
  <sheetViews>
    <sheetView tabSelected="1" view="pageBreakPreview" topLeftCell="A19" zoomScaleNormal="120" zoomScaleSheetLayoutView="100" workbookViewId="0">
      <selection activeCell="J51" sqref="A1:J51"/>
    </sheetView>
  </sheetViews>
  <sheetFormatPr defaultColWidth="9" defaultRowHeight="14.25" x14ac:dyDescent="0.15"/>
  <cols>
    <col min="1" max="1" width="5.125" customWidth="1"/>
    <col min="2" max="2" width="14.25" style="4" customWidth="1"/>
    <col min="3" max="3" width="8.875" style="5" customWidth="1"/>
    <col min="4" max="5" width="7.25" customWidth="1"/>
    <col min="6" max="6" width="12.625" customWidth="1"/>
    <col min="7" max="9" width="7.25" customWidth="1"/>
    <col min="10" max="10" width="7.75" customWidth="1"/>
    <col min="11" max="13" width="9" customWidth="1"/>
    <col min="14" max="15" width="4.75" bestFit="1" customWidth="1"/>
    <col min="16" max="16" width="8" bestFit="1" customWidth="1"/>
    <col min="17" max="17" width="25.125" bestFit="1" customWidth="1"/>
    <col min="19" max="19" width="11.375" bestFit="1" customWidth="1"/>
    <col min="20" max="20" width="9.375" bestFit="1" customWidth="1"/>
  </cols>
  <sheetData>
    <row r="1" spans="1:21" ht="30.75" customHeight="1" x14ac:dyDescent="0.1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21" s="1" customFormat="1" ht="16.5" customHeight="1" x14ac:dyDescent="0.15">
      <c r="A2" s="43" t="s">
        <v>17</v>
      </c>
      <c r="B2" s="43"/>
      <c r="C2" s="43"/>
      <c r="D2" s="44" t="s">
        <v>18</v>
      </c>
      <c r="E2" s="44"/>
      <c r="F2" s="44"/>
      <c r="G2" s="44" t="s">
        <v>19</v>
      </c>
      <c r="H2" s="44"/>
      <c r="I2" s="44"/>
      <c r="J2" s="44"/>
    </row>
    <row r="3" spans="1:21" s="2" customFormat="1" ht="15.75" customHeight="1" x14ac:dyDescent="0.15">
      <c r="A3" s="45" t="s">
        <v>1</v>
      </c>
      <c r="B3" s="46" t="s">
        <v>2</v>
      </c>
      <c r="C3" s="47" t="s">
        <v>3</v>
      </c>
      <c r="D3" s="41" t="s">
        <v>4</v>
      </c>
      <c r="E3" s="41"/>
      <c r="F3" s="41"/>
      <c r="G3" s="41"/>
      <c r="H3" s="41"/>
      <c r="I3" s="41"/>
      <c r="J3" s="40" t="s">
        <v>5</v>
      </c>
    </row>
    <row r="4" spans="1:21" s="2" customFormat="1" ht="15.75" customHeight="1" x14ac:dyDescent="0.15">
      <c r="A4" s="45"/>
      <c r="B4" s="46"/>
      <c r="C4" s="47"/>
      <c r="D4" s="45" t="s">
        <v>156</v>
      </c>
      <c r="E4" s="48" t="s">
        <v>157</v>
      </c>
      <c r="F4" s="48" t="s">
        <v>158</v>
      </c>
      <c r="G4" s="48" t="s">
        <v>159</v>
      </c>
      <c r="H4" s="49"/>
      <c r="I4" s="39"/>
      <c r="J4" s="40"/>
      <c r="K4" s="19"/>
      <c r="L4" s="19"/>
      <c r="M4" s="19"/>
      <c r="N4" s="19" t="s">
        <v>139</v>
      </c>
      <c r="O4" s="19" t="s">
        <v>138</v>
      </c>
      <c r="P4" s="19" t="s">
        <v>137</v>
      </c>
      <c r="Q4" s="19" t="s">
        <v>141</v>
      </c>
      <c r="R4" s="19" t="s">
        <v>140</v>
      </c>
      <c r="S4" s="19" t="s">
        <v>142</v>
      </c>
    </row>
    <row r="5" spans="1:21" s="2" customFormat="1" ht="15.75" customHeight="1" x14ac:dyDescent="0.15">
      <c r="A5" s="45"/>
      <c r="B5" s="46"/>
      <c r="C5" s="47"/>
      <c r="D5" s="45"/>
      <c r="E5" s="45"/>
      <c r="F5" s="45"/>
      <c r="G5" s="45"/>
      <c r="H5" s="39"/>
      <c r="I5" s="39"/>
      <c r="J5" s="40"/>
      <c r="L5" s="19" t="s">
        <v>145</v>
      </c>
      <c r="M5" s="19" t="s">
        <v>146</v>
      </c>
      <c r="N5" s="20"/>
      <c r="R5" s="2" t="s">
        <v>143</v>
      </c>
      <c r="S5" s="19" t="s">
        <v>144</v>
      </c>
      <c r="U5" s="19" t="s">
        <v>160</v>
      </c>
    </row>
    <row r="6" spans="1:21" s="2" customFormat="1" ht="15" customHeight="1" x14ac:dyDescent="0.15">
      <c r="A6" s="6" t="s">
        <v>20</v>
      </c>
      <c r="B6" s="7" t="s">
        <v>21</v>
      </c>
      <c r="C6" s="8" t="s">
        <v>22</v>
      </c>
      <c r="D6" s="9">
        <v>96</v>
      </c>
      <c r="E6" s="21">
        <v>84.7</v>
      </c>
      <c r="F6" s="21">
        <v>92</v>
      </c>
      <c r="G6" s="21">
        <v>63.700000000000024</v>
      </c>
      <c r="H6" s="21"/>
      <c r="I6" s="9"/>
      <c r="J6" s="18">
        <f>(D6*0.1+E6*0.1+F6*0.05+G6*0.05)*100/30</f>
        <v>86.183333333333351</v>
      </c>
      <c r="K6" s="22"/>
      <c r="L6" s="22">
        <v>59</v>
      </c>
      <c r="M6" s="22">
        <f>J6*0.3+L6*0.7</f>
        <v>67.155000000000001</v>
      </c>
      <c r="O6" s="2">
        <v>10</v>
      </c>
      <c r="P6" s="2">
        <v>82</v>
      </c>
      <c r="Q6" s="2">
        <f t="shared" ref="Q6:Q44" si="0">N6+O6+P6</f>
        <v>92</v>
      </c>
      <c r="R6" s="2">
        <v>21</v>
      </c>
      <c r="S6" s="22">
        <f>21*(100/28)</f>
        <v>75</v>
      </c>
      <c r="T6" s="22">
        <v>86.183333333333351</v>
      </c>
      <c r="U6" s="58">
        <f>(T6*0.3-D6*0.1-E6*0.1-F6*0.05)*100/5</f>
        <v>63.700000000000024</v>
      </c>
    </row>
    <row r="7" spans="1:21" s="2" customFormat="1" ht="15" customHeight="1" x14ac:dyDescent="0.15">
      <c r="A7" s="6" t="s">
        <v>23</v>
      </c>
      <c r="B7" s="7" t="s">
        <v>24</v>
      </c>
      <c r="C7" s="8" t="s">
        <v>25</v>
      </c>
      <c r="D7" s="9">
        <v>96</v>
      </c>
      <c r="E7" s="21">
        <v>71.040000000000006</v>
      </c>
      <c r="F7" s="21">
        <v>87</v>
      </c>
      <c r="G7" s="21">
        <v>42.897142857142732</v>
      </c>
      <c r="H7" s="21"/>
      <c r="I7" s="9"/>
      <c r="J7" s="18">
        <f t="shared" ref="J7:J44" si="1">(D7*0.1+E7*0.1+F7*0.05+G7*0.05)*100/30</f>
        <v>77.329523809523806</v>
      </c>
      <c r="K7" s="22"/>
      <c r="L7" s="22">
        <v>67</v>
      </c>
      <c r="M7" s="22">
        <f t="shared" ref="M7:M44" si="2">J7*0.3+L7*0.7</f>
        <v>70.098857142857142</v>
      </c>
      <c r="O7" s="2">
        <v>5</v>
      </c>
      <c r="P7" s="2">
        <v>82</v>
      </c>
      <c r="Q7" s="2">
        <f t="shared" si="0"/>
        <v>87</v>
      </c>
      <c r="R7" s="2">
        <v>19</v>
      </c>
      <c r="S7" s="22">
        <f>19*(100/28)</f>
        <v>67.857142857142861</v>
      </c>
      <c r="T7" s="22">
        <v>77.329523809523806</v>
      </c>
      <c r="U7" s="58">
        <f t="shared" ref="U7:U44" si="3">(T7*0.3-D7*0.1-E7*0.1-F7*0.05)*100/5</f>
        <v>42.897142857142732</v>
      </c>
    </row>
    <row r="8" spans="1:21" s="2" customFormat="1" ht="15" customHeight="1" x14ac:dyDescent="0.15">
      <c r="A8" s="6" t="s">
        <v>26</v>
      </c>
      <c r="B8" s="7" t="s">
        <v>27</v>
      </c>
      <c r="C8" s="8" t="s">
        <v>28</v>
      </c>
      <c r="D8" s="9">
        <v>100</v>
      </c>
      <c r="E8" s="21">
        <v>80.69</v>
      </c>
      <c r="F8" s="21">
        <v>99</v>
      </c>
      <c r="G8" s="21">
        <v>48.547142857142674</v>
      </c>
      <c r="H8" s="21"/>
      <c r="I8" s="9"/>
      <c r="J8" s="18">
        <f t="shared" si="1"/>
        <v>84.821190476190452</v>
      </c>
      <c r="K8" s="22"/>
      <c r="L8" s="22">
        <v>81</v>
      </c>
      <c r="M8" s="22">
        <f t="shared" si="2"/>
        <v>82.146357142857127</v>
      </c>
      <c r="N8" s="2">
        <v>5</v>
      </c>
      <c r="O8" s="2">
        <v>12</v>
      </c>
      <c r="P8" s="2">
        <v>82</v>
      </c>
      <c r="Q8" s="2">
        <f t="shared" si="0"/>
        <v>99</v>
      </c>
      <c r="R8" s="2">
        <v>19</v>
      </c>
      <c r="S8" s="22">
        <f>19*(100/28)</f>
        <v>67.857142857142861</v>
      </c>
      <c r="T8" s="22">
        <v>84.821190476190452</v>
      </c>
      <c r="U8" s="58">
        <f t="shared" si="3"/>
        <v>48.547142857142674</v>
      </c>
    </row>
    <row r="9" spans="1:21" s="2" customFormat="1" ht="15" customHeight="1" x14ac:dyDescent="0.15">
      <c r="A9" s="6" t="s">
        <v>29</v>
      </c>
      <c r="B9" s="7" t="s">
        <v>30</v>
      </c>
      <c r="C9" s="8" t="s">
        <v>31</v>
      </c>
      <c r="D9" s="9">
        <v>96</v>
      </c>
      <c r="E9" s="21">
        <v>81.709999999999994</v>
      </c>
      <c r="F9" s="21">
        <v>83</v>
      </c>
      <c r="G9" s="21">
        <v>60.70999999999988</v>
      </c>
      <c r="H9" s="21"/>
      <c r="I9" s="9"/>
      <c r="J9" s="18">
        <f t="shared" si="1"/>
        <v>83.188333333333318</v>
      </c>
      <c r="K9" s="22"/>
      <c r="L9" s="22">
        <v>79</v>
      </c>
      <c r="M9" s="22">
        <f t="shared" si="2"/>
        <v>80.256499999999988</v>
      </c>
      <c r="O9" s="2">
        <v>1</v>
      </c>
      <c r="P9" s="2">
        <v>82</v>
      </c>
      <c r="Q9" s="2">
        <f t="shared" si="0"/>
        <v>83</v>
      </c>
      <c r="R9" s="2">
        <v>21</v>
      </c>
      <c r="S9" s="22">
        <f>21*(100/28)</f>
        <v>75</v>
      </c>
      <c r="T9" s="22">
        <v>83.188333333333318</v>
      </c>
      <c r="U9" s="58">
        <f t="shared" si="3"/>
        <v>60.70999999999988</v>
      </c>
    </row>
    <row r="10" spans="1:21" s="2" customFormat="1" ht="15" customHeight="1" x14ac:dyDescent="0.15">
      <c r="A10" s="6" t="s">
        <v>32</v>
      </c>
      <c r="B10" s="7" t="s">
        <v>33</v>
      </c>
      <c r="C10" s="8" t="s">
        <v>34</v>
      </c>
      <c r="D10" s="9">
        <v>96</v>
      </c>
      <c r="E10" s="21">
        <v>78.989999999999995</v>
      </c>
      <c r="F10" s="21">
        <v>91</v>
      </c>
      <c r="G10" s="21">
        <v>65.132857142857034</v>
      </c>
      <c r="H10" s="21"/>
      <c r="I10" s="9"/>
      <c r="J10" s="18">
        <f t="shared" si="1"/>
        <v>84.352142857142852</v>
      </c>
      <c r="K10" s="22"/>
      <c r="L10" s="22">
        <v>85</v>
      </c>
      <c r="M10" s="22">
        <f t="shared" si="2"/>
        <v>84.805642857142843</v>
      </c>
      <c r="O10" s="2">
        <v>9</v>
      </c>
      <c r="P10" s="2">
        <v>82</v>
      </c>
      <c r="Q10" s="2">
        <f t="shared" si="0"/>
        <v>91</v>
      </c>
      <c r="R10" s="2">
        <v>23</v>
      </c>
      <c r="S10" s="22">
        <f>23*(100/28)</f>
        <v>82.142857142857153</v>
      </c>
      <c r="T10" s="22">
        <v>84.352142857142852</v>
      </c>
      <c r="U10" s="58">
        <f t="shared" si="3"/>
        <v>65.132857142857034</v>
      </c>
    </row>
    <row r="11" spans="1:21" s="2" customFormat="1" ht="15" customHeight="1" x14ac:dyDescent="0.15">
      <c r="A11" s="6" t="s">
        <v>35</v>
      </c>
      <c r="B11" s="7" t="s">
        <v>36</v>
      </c>
      <c r="C11" s="8" t="s">
        <v>37</v>
      </c>
      <c r="D11" s="9">
        <v>57.999999999999993</v>
      </c>
      <c r="E11" s="21">
        <v>78.760000000000005</v>
      </c>
      <c r="F11" s="21">
        <v>82</v>
      </c>
      <c r="G11" s="21">
        <v>110.04571428571425</v>
      </c>
      <c r="H11" s="21"/>
      <c r="I11" s="9"/>
      <c r="J11" s="18">
        <f t="shared" si="1"/>
        <v>77.594285714285718</v>
      </c>
      <c r="K11" s="22"/>
      <c r="L11" s="22">
        <v>70</v>
      </c>
      <c r="M11" s="22">
        <f t="shared" si="2"/>
        <v>72.278285714285715</v>
      </c>
      <c r="P11" s="2">
        <v>82</v>
      </c>
      <c r="Q11" s="2">
        <f t="shared" si="0"/>
        <v>82</v>
      </c>
      <c r="R11" s="2">
        <v>25</v>
      </c>
      <c r="S11" s="22">
        <f>25*(100/28)</f>
        <v>89.285714285714292</v>
      </c>
      <c r="T11" s="22">
        <v>77.594285714285718</v>
      </c>
      <c r="U11" s="58">
        <f t="shared" si="3"/>
        <v>110.04571428571425</v>
      </c>
    </row>
    <row r="12" spans="1:21" s="2" customFormat="1" ht="15" customHeight="1" x14ac:dyDescent="0.15">
      <c r="A12" s="6" t="s">
        <v>38</v>
      </c>
      <c r="B12" s="7" t="s">
        <v>39</v>
      </c>
      <c r="C12" s="8" t="s">
        <v>40</v>
      </c>
      <c r="D12" s="9">
        <v>100</v>
      </c>
      <c r="E12" s="21">
        <v>90.64</v>
      </c>
      <c r="F12" s="38">
        <v>100</v>
      </c>
      <c r="G12" s="21">
        <v>83.497142857142777</v>
      </c>
      <c r="H12" s="21"/>
      <c r="I12" s="9"/>
      <c r="J12" s="18">
        <f t="shared" si="1"/>
        <v>94.129523809523789</v>
      </c>
      <c r="K12" s="22"/>
      <c r="L12" s="22">
        <v>78.5</v>
      </c>
      <c r="M12" s="22">
        <f t="shared" si="2"/>
        <v>83.188857142857131</v>
      </c>
      <c r="N12" s="2">
        <v>5</v>
      </c>
      <c r="O12" s="2">
        <v>16</v>
      </c>
      <c r="P12" s="2">
        <v>82</v>
      </c>
      <c r="Q12" s="26">
        <f t="shared" si="0"/>
        <v>103</v>
      </c>
      <c r="R12" s="2">
        <v>26</v>
      </c>
      <c r="S12" s="22">
        <f>26*(100/28)</f>
        <v>92.857142857142861</v>
      </c>
      <c r="T12" s="22">
        <v>94.129523809523803</v>
      </c>
      <c r="U12" s="58">
        <f t="shared" si="3"/>
        <v>83.497142857142777</v>
      </c>
    </row>
    <row r="13" spans="1:21" s="2" customFormat="1" ht="15" customHeight="1" x14ac:dyDescent="0.15">
      <c r="A13" s="6" t="s">
        <v>41</v>
      </c>
      <c r="B13" s="7" t="s">
        <v>42</v>
      </c>
      <c r="C13" s="8" t="s">
        <v>43</v>
      </c>
      <c r="D13" s="9">
        <v>92</v>
      </c>
      <c r="E13" s="21">
        <v>85.12</v>
      </c>
      <c r="F13" s="21">
        <v>90</v>
      </c>
      <c r="G13" s="21">
        <v>57.405714285714247</v>
      </c>
      <c r="H13" s="21"/>
      <c r="I13" s="9"/>
      <c r="J13" s="18">
        <f t="shared" si="1"/>
        <v>83.607619047619053</v>
      </c>
      <c r="K13" s="22"/>
      <c r="L13" s="22">
        <v>96</v>
      </c>
      <c r="M13" s="22">
        <f t="shared" si="2"/>
        <v>92.282285714285706</v>
      </c>
      <c r="O13" s="2">
        <v>8</v>
      </c>
      <c r="P13" s="2">
        <v>82</v>
      </c>
      <c r="Q13" s="2">
        <f t="shared" si="0"/>
        <v>90</v>
      </c>
      <c r="R13" s="2">
        <v>18</v>
      </c>
      <c r="S13" s="22">
        <f>18*(100/28)</f>
        <v>64.285714285714292</v>
      </c>
      <c r="T13" s="22">
        <v>83.607619047619053</v>
      </c>
      <c r="U13" s="58">
        <f t="shared" si="3"/>
        <v>57.405714285714247</v>
      </c>
    </row>
    <row r="14" spans="1:21" s="2" customFormat="1" ht="15" customHeight="1" x14ac:dyDescent="0.15">
      <c r="A14" s="6" t="s">
        <v>44</v>
      </c>
      <c r="B14" s="7" t="s">
        <v>45</v>
      </c>
      <c r="C14" s="8" t="s">
        <v>46</v>
      </c>
      <c r="D14" s="9">
        <v>96</v>
      </c>
      <c r="E14" s="21">
        <v>83.71</v>
      </c>
      <c r="F14" s="21">
        <v>87</v>
      </c>
      <c r="G14" s="21">
        <v>80.567142857142699</v>
      </c>
      <c r="H14" s="21"/>
      <c r="I14" s="9"/>
      <c r="J14" s="18">
        <f t="shared" si="1"/>
        <v>87.831190476190457</v>
      </c>
      <c r="K14" s="22"/>
      <c r="L14" s="22">
        <v>86</v>
      </c>
      <c r="M14" s="22">
        <f t="shared" si="2"/>
        <v>86.549357142857133</v>
      </c>
      <c r="O14" s="2">
        <v>5</v>
      </c>
      <c r="P14" s="2">
        <v>82</v>
      </c>
      <c r="Q14" s="2">
        <f t="shared" si="0"/>
        <v>87</v>
      </c>
      <c r="R14" s="2">
        <v>26</v>
      </c>
      <c r="S14" s="22">
        <f>26*(100/28)</f>
        <v>92.857142857142861</v>
      </c>
      <c r="T14" s="22">
        <v>87.831190476190457</v>
      </c>
      <c r="U14" s="58">
        <f t="shared" si="3"/>
        <v>80.567142857142699</v>
      </c>
    </row>
    <row r="15" spans="1:21" s="2" customFormat="1" ht="15" customHeight="1" x14ac:dyDescent="0.15">
      <c r="A15" s="6" t="s">
        <v>47</v>
      </c>
      <c r="B15" s="7" t="s">
        <v>48</v>
      </c>
      <c r="C15" s="8" t="s">
        <v>49</v>
      </c>
      <c r="D15" s="9">
        <v>96</v>
      </c>
      <c r="E15" s="21">
        <v>89.49</v>
      </c>
      <c r="F15" s="21">
        <v>96</v>
      </c>
      <c r="G15" s="21">
        <v>89.918571428571468</v>
      </c>
      <c r="H15" s="21"/>
      <c r="I15" s="9"/>
      <c r="J15" s="18">
        <f t="shared" si="1"/>
        <v>92.816428571428588</v>
      </c>
      <c r="K15" s="22"/>
      <c r="L15" s="22">
        <v>94</v>
      </c>
      <c r="M15" s="22">
        <f t="shared" si="2"/>
        <v>93.644928571428579</v>
      </c>
      <c r="O15" s="2">
        <v>14</v>
      </c>
      <c r="P15" s="2">
        <v>82</v>
      </c>
      <c r="Q15" s="2">
        <f t="shared" si="0"/>
        <v>96</v>
      </c>
      <c r="R15" s="2">
        <v>27</v>
      </c>
      <c r="S15" s="22">
        <f>27*(100/28)</f>
        <v>96.428571428571431</v>
      </c>
      <c r="T15" s="22">
        <v>92.816428571428588</v>
      </c>
      <c r="U15" s="58">
        <f t="shared" si="3"/>
        <v>89.918571428571468</v>
      </c>
    </row>
    <row r="16" spans="1:21" s="2" customFormat="1" ht="15" customHeight="1" x14ac:dyDescent="0.15">
      <c r="A16" s="6" t="s">
        <v>50</v>
      </c>
      <c r="B16" s="7" t="s">
        <v>51</v>
      </c>
      <c r="C16" s="8" t="s">
        <v>52</v>
      </c>
      <c r="D16" s="9">
        <v>88</v>
      </c>
      <c r="E16" s="21">
        <v>85.23</v>
      </c>
      <c r="F16" s="38">
        <v>100</v>
      </c>
      <c r="G16" s="21">
        <v>86.515714285714267</v>
      </c>
      <c r="H16" s="21"/>
      <c r="I16" s="9"/>
      <c r="J16" s="18">
        <f t="shared" si="1"/>
        <v>88.829285714285717</v>
      </c>
      <c r="K16" s="22"/>
      <c r="L16" s="22">
        <v>98</v>
      </c>
      <c r="M16" s="22">
        <f t="shared" si="2"/>
        <v>95.248785714285702</v>
      </c>
      <c r="O16" s="2">
        <v>19</v>
      </c>
      <c r="P16" s="2">
        <v>82</v>
      </c>
      <c r="Q16" s="26">
        <f t="shared" si="0"/>
        <v>101</v>
      </c>
      <c r="R16" s="2">
        <v>25</v>
      </c>
      <c r="S16" s="22">
        <f>25*(100/28)</f>
        <v>89.285714285714292</v>
      </c>
      <c r="T16" s="22">
        <v>88.829285714285717</v>
      </c>
      <c r="U16" s="58">
        <f t="shared" si="3"/>
        <v>86.515714285714267</v>
      </c>
    </row>
    <row r="17" spans="1:21" s="2" customFormat="1" ht="15" customHeight="1" x14ac:dyDescent="0.15">
      <c r="A17" s="6" t="s">
        <v>53</v>
      </c>
      <c r="B17" s="7" t="s">
        <v>54</v>
      </c>
      <c r="C17" s="8" t="s">
        <v>55</v>
      </c>
      <c r="D17" s="9">
        <v>96</v>
      </c>
      <c r="E17" s="21">
        <v>84.92</v>
      </c>
      <c r="F17" s="21">
        <v>91</v>
      </c>
      <c r="G17" s="21">
        <v>74.634285714285667</v>
      </c>
      <c r="H17" s="21"/>
      <c r="I17" s="9"/>
      <c r="J17" s="18">
        <f t="shared" si="1"/>
        <v>87.912380952380957</v>
      </c>
      <c r="K17" s="22"/>
      <c r="L17" s="22">
        <v>87</v>
      </c>
      <c r="M17" s="22">
        <f t="shared" si="2"/>
        <v>87.273714285714277</v>
      </c>
      <c r="O17" s="2">
        <v>9</v>
      </c>
      <c r="P17" s="2">
        <v>82</v>
      </c>
      <c r="Q17" s="2">
        <f t="shared" si="0"/>
        <v>91</v>
      </c>
      <c r="R17" s="2">
        <v>24</v>
      </c>
      <c r="S17" s="22">
        <f>24*(100/28)</f>
        <v>85.714285714285722</v>
      </c>
      <c r="T17" s="22">
        <v>87.912380952380957</v>
      </c>
      <c r="U17" s="58">
        <f t="shared" si="3"/>
        <v>74.634285714285667</v>
      </c>
    </row>
    <row r="18" spans="1:21" s="2" customFormat="1" ht="15" customHeight="1" x14ac:dyDescent="0.15">
      <c r="A18" s="6" t="s">
        <v>56</v>
      </c>
      <c r="B18" s="7" t="s">
        <v>57</v>
      </c>
      <c r="C18" s="8" t="s">
        <v>58</v>
      </c>
      <c r="D18" s="9">
        <v>88</v>
      </c>
      <c r="E18" s="21">
        <v>78.92</v>
      </c>
      <c r="F18" s="21">
        <v>83</v>
      </c>
      <c r="G18" s="21">
        <v>55.205714285714237</v>
      </c>
      <c r="H18" s="21"/>
      <c r="I18" s="9"/>
      <c r="J18" s="18">
        <f t="shared" si="1"/>
        <v>78.674285714285688</v>
      </c>
      <c r="K18" s="22"/>
      <c r="L18" s="22">
        <v>77</v>
      </c>
      <c r="M18" s="22">
        <f t="shared" si="2"/>
        <v>77.502285714285705</v>
      </c>
      <c r="O18" s="2">
        <v>1</v>
      </c>
      <c r="P18" s="2">
        <v>82</v>
      </c>
      <c r="Q18" s="2">
        <f t="shared" si="0"/>
        <v>83</v>
      </c>
      <c r="R18" s="2">
        <v>18</v>
      </c>
      <c r="S18" s="22">
        <f>18*(100/28)</f>
        <v>64.285714285714292</v>
      </c>
      <c r="T18" s="22">
        <v>78.674285714285716</v>
      </c>
      <c r="U18" s="58">
        <f t="shared" si="3"/>
        <v>55.205714285714237</v>
      </c>
    </row>
    <row r="19" spans="1:21" s="2" customFormat="1" ht="15" customHeight="1" x14ac:dyDescent="0.15">
      <c r="A19" s="6" t="s">
        <v>59</v>
      </c>
      <c r="B19" s="7" t="s">
        <v>60</v>
      </c>
      <c r="C19" s="8" t="s">
        <v>61</v>
      </c>
      <c r="D19" s="9">
        <v>100</v>
      </c>
      <c r="E19" s="21">
        <v>96.48</v>
      </c>
      <c r="F19" s="38">
        <v>100</v>
      </c>
      <c r="G19" s="21">
        <v>92.908571428571449</v>
      </c>
      <c r="H19" s="21"/>
      <c r="I19" s="9"/>
      <c r="J19" s="18">
        <f t="shared" si="1"/>
        <v>97.644761904761921</v>
      </c>
      <c r="K19" s="22"/>
      <c r="L19" s="22">
        <v>96</v>
      </c>
      <c r="M19" s="22">
        <f t="shared" si="2"/>
        <v>96.493428571428566</v>
      </c>
      <c r="N19" s="2">
        <v>5</v>
      </c>
      <c r="O19" s="2">
        <v>18</v>
      </c>
      <c r="P19" s="2">
        <v>82</v>
      </c>
      <c r="Q19" s="26">
        <f t="shared" si="0"/>
        <v>105</v>
      </c>
      <c r="R19" s="2">
        <v>27</v>
      </c>
      <c r="S19" s="22">
        <f>27*(100/28)</f>
        <v>96.428571428571431</v>
      </c>
      <c r="T19" s="22">
        <v>97.644761904761921</v>
      </c>
      <c r="U19" s="58">
        <f t="shared" si="3"/>
        <v>92.908571428571449</v>
      </c>
    </row>
    <row r="20" spans="1:21" s="2" customFormat="1" ht="15" customHeight="1" x14ac:dyDescent="0.15">
      <c r="A20" s="6" t="s">
        <v>62</v>
      </c>
      <c r="B20" s="7" t="s">
        <v>63</v>
      </c>
      <c r="C20" s="8" t="s">
        <v>64</v>
      </c>
      <c r="D20" s="9">
        <v>75</v>
      </c>
      <c r="E20" s="21">
        <v>85.62</v>
      </c>
      <c r="F20" s="21">
        <v>83</v>
      </c>
      <c r="G20" s="21">
        <v>92.762857142857158</v>
      </c>
      <c r="H20" s="21"/>
      <c r="I20" s="9"/>
      <c r="J20" s="18">
        <f t="shared" si="1"/>
        <v>82.833809523809549</v>
      </c>
      <c r="K20" s="22"/>
      <c r="L20" s="22">
        <v>66</v>
      </c>
      <c r="M20" s="22">
        <f t="shared" si="2"/>
        <v>71.050142857142859</v>
      </c>
      <c r="O20" s="2">
        <v>1</v>
      </c>
      <c r="P20" s="2">
        <v>82</v>
      </c>
      <c r="Q20" s="2">
        <f t="shared" si="0"/>
        <v>83</v>
      </c>
      <c r="R20" s="2">
        <v>23</v>
      </c>
      <c r="S20" s="22">
        <f>23*(100/28)</f>
        <v>82.142857142857153</v>
      </c>
      <c r="T20" s="22">
        <v>82.833809523809535</v>
      </c>
      <c r="U20" s="58">
        <f t="shared" si="3"/>
        <v>92.762857142857158</v>
      </c>
    </row>
    <row r="21" spans="1:21" s="2" customFormat="1" ht="15" customHeight="1" x14ac:dyDescent="0.15">
      <c r="A21" s="6" t="s">
        <v>65</v>
      </c>
      <c r="B21" s="7" t="s">
        <v>66</v>
      </c>
      <c r="C21" s="8" t="s">
        <v>67</v>
      </c>
      <c r="D21" s="9">
        <v>67</v>
      </c>
      <c r="E21" s="21">
        <v>40.380000000000003</v>
      </c>
      <c r="F21" s="21">
        <v>82</v>
      </c>
      <c r="G21" s="21">
        <v>55.522857142857184</v>
      </c>
      <c r="H21" s="21"/>
      <c r="I21" s="9"/>
      <c r="J21" s="18">
        <f t="shared" si="1"/>
        <v>58.71380952380953</v>
      </c>
      <c r="K21" s="22"/>
      <c r="L21" s="22">
        <v>84.5</v>
      </c>
      <c r="M21" s="22">
        <f t="shared" si="2"/>
        <v>76.764142857142858</v>
      </c>
      <c r="P21" s="2">
        <v>82</v>
      </c>
      <c r="Q21" s="2">
        <f t="shared" si="0"/>
        <v>82</v>
      </c>
      <c r="R21" s="2">
        <v>23</v>
      </c>
      <c r="S21" s="22">
        <f>23*(100/28)</f>
        <v>82.142857142857153</v>
      </c>
      <c r="T21" s="22">
        <v>58.71380952380953</v>
      </c>
      <c r="U21" s="58">
        <f t="shared" si="3"/>
        <v>55.522857142857184</v>
      </c>
    </row>
    <row r="22" spans="1:21" s="2" customFormat="1" ht="15" customHeight="1" x14ac:dyDescent="0.15">
      <c r="A22" s="6" t="s">
        <v>68</v>
      </c>
      <c r="B22" s="7" t="s">
        <v>69</v>
      </c>
      <c r="C22" s="8" t="s">
        <v>70</v>
      </c>
      <c r="D22" s="9">
        <v>75</v>
      </c>
      <c r="E22" s="21">
        <v>75.47</v>
      </c>
      <c r="F22" s="21">
        <v>83</v>
      </c>
      <c r="G22" s="21">
        <v>100.46999999999994</v>
      </c>
      <c r="H22" s="21"/>
      <c r="I22" s="9"/>
      <c r="J22" s="18">
        <f t="shared" si="1"/>
        <v>80.734999999999999</v>
      </c>
      <c r="K22" s="22"/>
      <c r="L22" s="22">
        <v>51.5</v>
      </c>
      <c r="M22" s="22">
        <f t="shared" si="2"/>
        <v>60.270499999999998</v>
      </c>
      <c r="O22" s="2">
        <v>1</v>
      </c>
      <c r="P22" s="2">
        <v>82</v>
      </c>
      <c r="Q22" s="2">
        <f t="shared" si="0"/>
        <v>83</v>
      </c>
      <c r="R22" s="2">
        <v>28</v>
      </c>
      <c r="S22" s="22">
        <f>28*(100/28)</f>
        <v>100</v>
      </c>
      <c r="T22" s="22">
        <v>80.734999999999999</v>
      </c>
      <c r="U22" s="58">
        <f t="shared" si="3"/>
        <v>100.46999999999994</v>
      </c>
    </row>
    <row r="23" spans="1:21" s="2" customFormat="1" ht="15" customHeight="1" x14ac:dyDescent="0.15">
      <c r="A23" s="6" t="s">
        <v>71</v>
      </c>
      <c r="B23" s="7" t="s">
        <v>72</v>
      </c>
      <c r="C23" s="8" t="s">
        <v>73</v>
      </c>
      <c r="D23" s="9">
        <v>79</v>
      </c>
      <c r="E23" s="21">
        <v>80.180000000000007</v>
      </c>
      <c r="F23" s="21">
        <v>85</v>
      </c>
      <c r="G23" s="21">
        <v>83.322857142857032</v>
      </c>
      <c r="H23" s="21"/>
      <c r="I23" s="9"/>
      <c r="J23" s="18">
        <f t="shared" si="1"/>
        <v>81.113809523809508</v>
      </c>
      <c r="K23" s="22"/>
      <c r="L23" s="22">
        <v>91</v>
      </c>
      <c r="M23" s="22">
        <f t="shared" si="2"/>
        <v>88.034142857142854</v>
      </c>
      <c r="O23" s="2">
        <v>3</v>
      </c>
      <c r="P23" s="2">
        <v>82</v>
      </c>
      <c r="Q23" s="2">
        <f t="shared" si="0"/>
        <v>85</v>
      </c>
      <c r="R23" s="2">
        <v>23</v>
      </c>
      <c r="S23" s="22">
        <f>23*(100/28)</f>
        <v>82.142857142857153</v>
      </c>
      <c r="T23" s="22">
        <v>81.113809523809522</v>
      </c>
      <c r="U23" s="58">
        <f t="shared" si="3"/>
        <v>83.322857142857032</v>
      </c>
    </row>
    <row r="24" spans="1:21" s="2" customFormat="1" ht="15" customHeight="1" x14ac:dyDescent="0.15">
      <c r="A24" s="6" t="s">
        <v>74</v>
      </c>
      <c r="B24" s="7" t="s">
        <v>75</v>
      </c>
      <c r="C24" s="8" t="s">
        <v>76</v>
      </c>
      <c r="D24" s="9">
        <v>88</v>
      </c>
      <c r="E24" s="21">
        <v>86.39</v>
      </c>
      <c r="F24" s="21">
        <v>84</v>
      </c>
      <c r="G24" s="21">
        <v>91.247142857142705</v>
      </c>
      <c r="H24" s="21"/>
      <c r="I24" s="9"/>
      <c r="J24" s="18">
        <f t="shared" si="1"/>
        <v>87.337857142857104</v>
      </c>
      <c r="K24" s="22"/>
      <c r="L24" s="22">
        <v>88</v>
      </c>
      <c r="M24" s="22">
        <f t="shared" si="2"/>
        <v>87.801357142857128</v>
      </c>
      <c r="O24" s="2">
        <v>2</v>
      </c>
      <c r="P24" s="2">
        <v>82</v>
      </c>
      <c r="Q24" s="2">
        <f t="shared" si="0"/>
        <v>84</v>
      </c>
      <c r="R24" s="2">
        <v>26</v>
      </c>
      <c r="S24" s="22">
        <f>26*(100/28)</f>
        <v>92.857142857142861</v>
      </c>
      <c r="T24" s="22">
        <v>87.337857142857132</v>
      </c>
      <c r="U24" s="58">
        <f t="shared" si="3"/>
        <v>91.247142857142705</v>
      </c>
    </row>
    <row r="25" spans="1:21" s="2" customFormat="1" ht="15" customHeight="1" x14ac:dyDescent="0.15">
      <c r="A25" s="6" t="s">
        <v>77</v>
      </c>
      <c r="B25" s="7" t="s">
        <v>78</v>
      </c>
      <c r="C25" s="8" t="s">
        <v>79</v>
      </c>
      <c r="D25" s="9">
        <v>92</v>
      </c>
      <c r="E25" s="21">
        <v>80.599999999999994</v>
      </c>
      <c r="F25" s="21">
        <v>88</v>
      </c>
      <c r="G25" s="21">
        <v>70.742857142856977</v>
      </c>
      <c r="H25" s="21"/>
      <c r="I25" s="9"/>
      <c r="J25" s="18">
        <f t="shared" si="1"/>
        <v>83.990476190476173</v>
      </c>
      <c r="K25" s="22"/>
      <c r="L25" s="22">
        <v>77</v>
      </c>
      <c r="M25" s="22">
        <f t="shared" si="2"/>
        <v>79.097142857142842</v>
      </c>
      <c r="O25" s="2">
        <v>6</v>
      </c>
      <c r="P25" s="2">
        <v>82</v>
      </c>
      <c r="Q25" s="2">
        <f t="shared" si="0"/>
        <v>88</v>
      </c>
      <c r="R25" s="2">
        <v>23</v>
      </c>
      <c r="S25" s="22">
        <f>23*(100/28)</f>
        <v>82.142857142857153</v>
      </c>
      <c r="T25" s="22">
        <v>83.990476190476173</v>
      </c>
      <c r="U25" s="58">
        <f t="shared" si="3"/>
        <v>70.742857142856977</v>
      </c>
    </row>
    <row r="26" spans="1:21" s="2" customFormat="1" ht="15" customHeight="1" x14ac:dyDescent="0.15">
      <c r="A26" s="6" t="s">
        <v>80</v>
      </c>
      <c r="B26" s="7" t="s">
        <v>81</v>
      </c>
      <c r="C26" s="8" t="s">
        <v>82</v>
      </c>
      <c r="D26" s="9">
        <v>88</v>
      </c>
      <c r="E26" s="21">
        <v>66.5</v>
      </c>
      <c r="F26" s="21">
        <v>83</v>
      </c>
      <c r="G26" s="21">
        <v>-3.6428571428572099</v>
      </c>
      <c r="H26" s="21"/>
      <c r="I26" s="9"/>
      <c r="J26" s="18">
        <f t="shared" si="1"/>
        <v>64.726190476190467</v>
      </c>
      <c r="K26" s="22"/>
      <c r="L26" s="22">
        <v>77</v>
      </c>
      <c r="M26" s="22">
        <f t="shared" si="2"/>
        <v>73.317857142857136</v>
      </c>
      <c r="O26" s="2">
        <v>1</v>
      </c>
      <c r="P26" s="2">
        <v>82</v>
      </c>
      <c r="Q26" s="2">
        <f t="shared" si="0"/>
        <v>83</v>
      </c>
      <c r="R26" s="2">
        <v>5</v>
      </c>
      <c r="S26" s="22">
        <f>5*(100/28)</f>
        <v>17.857142857142858</v>
      </c>
      <c r="T26" s="22">
        <v>64.726190476190467</v>
      </c>
      <c r="U26" s="58">
        <f t="shared" si="3"/>
        <v>-3.6428571428572099</v>
      </c>
    </row>
    <row r="27" spans="1:21" s="2" customFormat="1" ht="15" customHeight="1" x14ac:dyDescent="0.15">
      <c r="A27" s="6" t="s">
        <v>83</v>
      </c>
      <c r="B27" s="7" t="s">
        <v>84</v>
      </c>
      <c r="C27" s="8" t="s">
        <v>85</v>
      </c>
      <c r="D27" s="9">
        <v>60</v>
      </c>
      <c r="E27" s="37">
        <v>66.8</v>
      </c>
      <c r="F27" s="37">
        <v>82</v>
      </c>
      <c r="G27" s="21">
        <v>66.79999999999994</v>
      </c>
      <c r="H27" s="37"/>
      <c r="I27" s="9"/>
      <c r="J27" s="18">
        <f t="shared" si="1"/>
        <v>67.066666666666663</v>
      </c>
      <c r="K27" s="22"/>
      <c r="L27" s="22">
        <v>57</v>
      </c>
      <c r="M27" s="22">
        <f t="shared" si="2"/>
        <v>60.019999999999996</v>
      </c>
      <c r="P27" s="2">
        <v>82</v>
      </c>
      <c r="Q27" s="2">
        <f t="shared" si="0"/>
        <v>82</v>
      </c>
      <c r="R27" s="2">
        <v>0</v>
      </c>
      <c r="S27" s="22">
        <f>0*(100/28)</f>
        <v>0</v>
      </c>
      <c r="T27" s="22">
        <v>67.066666666666663</v>
      </c>
      <c r="U27" s="58">
        <f t="shared" si="3"/>
        <v>66.79999999999994</v>
      </c>
    </row>
    <row r="28" spans="1:21" s="2" customFormat="1" ht="15" customHeight="1" x14ac:dyDescent="0.15">
      <c r="A28" s="6" t="s">
        <v>86</v>
      </c>
      <c r="B28" s="7" t="s">
        <v>87</v>
      </c>
      <c r="C28" s="8" t="s">
        <v>88</v>
      </c>
      <c r="D28" s="9">
        <v>96</v>
      </c>
      <c r="E28" s="21">
        <v>82.02</v>
      </c>
      <c r="F28" s="21">
        <v>82</v>
      </c>
      <c r="G28" s="21">
        <v>86.019999999999953</v>
      </c>
      <c r="H28" s="21"/>
      <c r="I28" s="9"/>
      <c r="J28" s="18">
        <f t="shared" si="1"/>
        <v>87.34333333333332</v>
      </c>
      <c r="K28" s="22"/>
      <c r="L28" s="22">
        <v>58.5</v>
      </c>
      <c r="M28" s="22">
        <f t="shared" si="2"/>
        <v>67.152999999999992</v>
      </c>
      <c r="P28" s="2">
        <v>82</v>
      </c>
      <c r="Q28" s="2">
        <f t="shared" si="0"/>
        <v>82</v>
      </c>
      <c r="R28" s="2">
        <v>28</v>
      </c>
      <c r="S28" s="22">
        <f>28*(100/28)</f>
        <v>100</v>
      </c>
      <c r="T28" s="22">
        <v>87.343333333333334</v>
      </c>
      <c r="U28" s="58">
        <f t="shared" si="3"/>
        <v>86.019999999999953</v>
      </c>
    </row>
    <row r="29" spans="1:21" s="2" customFormat="1" ht="15" customHeight="1" x14ac:dyDescent="0.15">
      <c r="A29" s="6" t="s">
        <v>89</v>
      </c>
      <c r="B29" s="7" t="s">
        <v>90</v>
      </c>
      <c r="C29" s="8" t="s">
        <v>91</v>
      </c>
      <c r="D29" s="9">
        <v>57.999999999999993</v>
      </c>
      <c r="E29" s="21">
        <v>84.89</v>
      </c>
      <c r="F29" s="21">
        <v>82</v>
      </c>
      <c r="G29" s="21">
        <v>37.604285714285638</v>
      </c>
      <c r="H29" s="21"/>
      <c r="I29" s="9"/>
      <c r="J29" s="18">
        <f>(D29*0.1+E29*0.1+F29*0.05+G29*0.05)*100/30</f>
        <v>67.564047619047614</v>
      </c>
      <c r="K29" s="22"/>
      <c r="L29" s="22">
        <v>82</v>
      </c>
      <c r="M29" s="22">
        <f t="shared" si="2"/>
        <v>77.669214285714276</v>
      </c>
      <c r="P29" s="2">
        <v>82</v>
      </c>
      <c r="Q29" s="2">
        <f t="shared" si="0"/>
        <v>82</v>
      </c>
      <c r="R29" s="2">
        <v>3</v>
      </c>
      <c r="S29" s="22">
        <f>3*(100/28)</f>
        <v>10.714285714285715</v>
      </c>
      <c r="T29" s="22">
        <v>67.564047619047614</v>
      </c>
      <c r="U29" s="58">
        <f t="shared" si="3"/>
        <v>37.604285714285638</v>
      </c>
    </row>
    <row r="30" spans="1:21" s="2" customFormat="1" ht="15" customHeight="1" x14ac:dyDescent="0.15">
      <c r="A30" s="6" t="s">
        <v>92</v>
      </c>
      <c r="B30" s="7" t="s">
        <v>93</v>
      </c>
      <c r="C30" s="8" t="s">
        <v>94</v>
      </c>
      <c r="D30" s="9">
        <v>57.999999999999993</v>
      </c>
      <c r="E30" s="21">
        <v>75.069999999999993</v>
      </c>
      <c r="F30" s="21">
        <v>82</v>
      </c>
      <c r="G30" s="21">
        <v>20.641428571428531</v>
      </c>
      <c r="H30" s="21"/>
      <c r="I30" s="9"/>
      <c r="J30" s="18">
        <f t="shared" si="1"/>
        <v>61.463571428571427</v>
      </c>
      <c r="K30" s="22"/>
      <c r="L30" s="22">
        <v>67</v>
      </c>
      <c r="M30" s="22">
        <f t="shared" si="2"/>
        <v>65.33907142857143</v>
      </c>
      <c r="P30" s="2">
        <v>82</v>
      </c>
      <c r="Q30" s="2">
        <f t="shared" si="0"/>
        <v>82</v>
      </c>
      <c r="R30" s="2">
        <v>1</v>
      </c>
      <c r="S30" s="22">
        <f>1*(100/28)</f>
        <v>3.5714285714285716</v>
      </c>
      <c r="T30" s="22">
        <v>61.463571428571427</v>
      </c>
      <c r="U30" s="58">
        <f t="shared" si="3"/>
        <v>20.641428571428531</v>
      </c>
    </row>
    <row r="31" spans="1:21" s="2" customFormat="1" ht="15" customHeight="1" x14ac:dyDescent="0.15">
      <c r="A31" s="6" t="s">
        <v>95</v>
      </c>
      <c r="B31" s="7" t="s">
        <v>96</v>
      </c>
      <c r="C31" s="8" t="s">
        <v>97</v>
      </c>
      <c r="D31" s="9">
        <v>75</v>
      </c>
      <c r="E31" s="21">
        <v>77.5</v>
      </c>
      <c r="F31" s="21">
        <v>82</v>
      </c>
      <c r="G31" s="21">
        <v>16.785714285714253</v>
      </c>
      <c r="H31" s="21"/>
      <c r="I31" s="9"/>
      <c r="J31" s="18">
        <f t="shared" si="1"/>
        <v>67.297619047619051</v>
      </c>
      <c r="K31" s="22"/>
      <c r="L31" s="22">
        <v>86</v>
      </c>
      <c r="M31" s="22">
        <f t="shared" si="2"/>
        <v>80.389285714285705</v>
      </c>
      <c r="P31" s="2">
        <v>82</v>
      </c>
      <c r="Q31" s="2">
        <f t="shared" si="0"/>
        <v>82</v>
      </c>
      <c r="R31" s="2">
        <v>4</v>
      </c>
      <c r="S31" s="22">
        <f>4*(100/28)</f>
        <v>14.285714285714286</v>
      </c>
      <c r="T31" s="22">
        <v>67.297619047619051</v>
      </c>
      <c r="U31" s="58">
        <f>(T31*0.3-D31*0.1-E31*0.1-F31*0.05)*100/5</f>
        <v>16.785714285714253</v>
      </c>
    </row>
    <row r="32" spans="1:21" s="2" customFormat="1" ht="15" customHeight="1" x14ac:dyDescent="0.15">
      <c r="A32" s="6" t="s">
        <v>98</v>
      </c>
      <c r="B32" s="7" t="s">
        <v>99</v>
      </c>
      <c r="C32" s="8" t="s">
        <v>100</v>
      </c>
      <c r="D32" s="9">
        <v>83</v>
      </c>
      <c r="E32" s="21">
        <v>0</v>
      </c>
      <c r="F32" s="37">
        <v>83</v>
      </c>
      <c r="G32" s="21">
        <v>16.999999999999993</v>
      </c>
      <c r="H32" s="21"/>
      <c r="I32" s="9"/>
      <c r="J32" s="18">
        <f t="shared" si="1"/>
        <v>44.333333333333336</v>
      </c>
      <c r="K32" s="22"/>
      <c r="L32" s="22">
        <v>81</v>
      </c>
      <c r="M32" s="22">
        <f t="shared" si="2"/>
        <v>70</v>
      </c>
      <c r="O32" s="2">
        <v>1</v>
      </c>
      <c r="P32" s="2">
        <v>82</v>
      </c>
      <c r="Q32" s="2">
        <f t="shared" si="0"/>
        <v>83</v>
      </c>
      <c r="R32" s="2">
        <v>28</v>
      </c>
      <c r="S32" s="22">
        <f>28*(100/28)</f>
        <v>100</v>
      </c>
      <c r="T32" s="22">
        <v>44.333333333333336</v>
      </c>
      <c r="U32" s="58">
        <f t="shared" si="3"/>
        <v>16.999999999999993</v>
      </c>
    </row>
    <row r="33" spans="1:21" s="2" customFormat="1" ht="15" customHeight="1" x14ac:dyDescent="0.15">
      <c r="A33" s="6" t="s">
        <v>101</v>
      </c>
      <c r="B33" s="7" t="s">
        <v>102</v>
      </c>
      <c r="C33" s="8" t="s">
        <v>103</v>
      </c>
      <c r="D33" s="9">
        <v>92</v>
      </c>
      <c r="E33" s="21">
        <v>82.07</v>
      </c>
      <c r="F33" s="21">
        <v>86</v>
      </c>
      <c r="G33" s="21">
        <v>90.070000000000022</v>
      </c>
      <c r="H33" s="21"/>
      <c r="I33" s="9"/>
      <c r="J33" s="18">
        <f t="shared" si="1"/>
        <v>87.368333333333339</v>
      </c>
      <c r="K33" s="22"/>
      <c r="L33" s="22">
        <v>91</v>
      </c>
      <c r="M33" s="22">
        <f t="shared" si="2"/>
        <v>89.910499999999999</v>
      </c>
      <c r="O33" s="2">
        <v>4</v>
      </c>
      <c r="P33" s="2">
        <v>82</v>
      </c>
      <c r="Q33" s="2">
        <f t="shared" si="0"/>
        <v>86</v>
      </c>
      <c r="R33" s="2">
        <v>28</v>
      </c>
      <c r="S33" s="22">
        <f>28*(100/28)</f>
        <v>100</v>
      </c>
      <c r="T33" s="22">
        <v>87.368333333333339</v>
      </c>
      <c r="U33" s="58">
        <f t="shared" si="3"/>
        <v>90.070000000000022</v>
      </c>
    </row>
    <row r="34" spans="1:21" s="2" customFormat="1" ht="15" customHeight="1" x14ac:dyDescent="0.15">
      <c r="A34" s="6" t="s">
        <v>104</v>
      </c>
      <c r="B34" s="7" t="s">
        <v>105</v>
      </c>
      <c r="C34" s="8" t="s">
        <v>106</v>
      </c>
      <c r="D34" s="9">
        <v>83</v>
      </c>
      <c r="E34" s="21">
        <v>84.58</v>
      </c>
      <c r="F34" s="21">
        <v>82</v>
      </c>
      <c r="G34" s="21">
        <v>101.58</v>
      </c>
      <c r="H34" s="21"/>
      <c r="I34" s="9"/>
      <c r="J34" s="18">
        <f t="shared" si="1"/>
        <v>86.456666666666678</v>
      </c>
      <c r="K34" s="22"/>
      <c r="L34" s="22">
        <v>86.5</v>
      </c>
      <c r="M34" s="22">
        <f t="shared" si="2"/>
        <v>86.486999999999995</v>
      </c>
      <c r="P34" s="2">
        <v>82</v>
      </c>
      <c r="Q34" s="2">
        <f t="shared" si="0"/>
        <v>82</v>
      </c>
      <c r="R34" s="2">
        <v>28</v>
      </c>
      <c r="S34" s="22">
        <f>28*(100/28)</f>
        <v>100</v>
      </c>
      <c r="T34" s="22">
        <v>86.456666666666678</v>
      </c>
      <c r="U34" s="58">
        <f t="shared" si="3"/>
        <v>101.58</v>
      </c>
    </row>
    <row r="35" spans="1:21" s="2" customFormat="1" ht="15" customHeight="1" x14ac:dyDescent="0.15">
      <c r="A35" s="6" t="s">
        <v>107</v>
      </c>
      <c r="B35" s="7" t="s">
        <v>108</v>
      </c>
      <c r="C35" s="8" t="s">
        <v>109</v>
      </c>
      <c r="D35" s="9">
        <v>71</v>
      </c>
      <c r="E35" s="21">
        <v>74.19</v>
      </c>
      <c r="F35" s="21">
        <v>82</v>
      </c>
      <c r="G35" s="21">
        <v>10.332857142857126</v>
      </c>
      <c r="H35" s="21"/>
      <c r="I35" s="9"/>
      <c r="J35" s="18">
        <f t="shared" si="1"/>
        <v>63.785476190476196</v>
      </c>
      <c r="K35" s="22"/>
      <c r="L35" s="22">
        <v>76</v>
      </c>
      <c r="M35" s="22">
        <f t="shared" si="2"/>
        <v>72.335642857142858</v>
      </c>
      <c r="P35" s="2">
        <v>82</v>
      </c>
      <c r="Q35" s="2">
        <f t="shared" si="0"/>
        <v>82</v>
      </c>
      <c r="R35" s="2">
        <v>2</v>
      </c>
      <c r="S35" s="22">
        <f>2*(100/28)</f>
        <v>7.1428571428571432</v>
      </c>
      <c r="T35" s="22">
        <v>63.785476190476196</v>
      </c>
      <c r="U35" s="58">
        <f t="shared" si="3"/>
        <v>10.332857142857126</v>
      </c>
    </row>
    <row r="36" spans="1:21" s="2" customFormat="1" ht="15" customHeight="1" x14ac:dyDescent="0.15">
      <c r="A36" s="6" t="s">
        <v>110</v>
      </c>
      <c r="B36" s="7" t="s">
        <v>111</v>
      </c>
      <c r="C36" s="8" t="s">
        <v>112</v>
      </c>
      <c r="D36" s="9">
        <v>92</v>
      </c>
      <c r="E36" s="21">
        <v>85.89</v>
      </c>
      <c r="F36" s="21">
        <v>87</v>
      </c>
      <c r="G36" s="21">
        <v>90.318571428571332</v>
      </c>
      <c r="H36" s="21"/>
      <c r="I36" s="9"/>
      <c r="J36" s="18">
        <f t="shared" si="1"/>
        <v>88.849761904761905</v>
      </c>
      <c r="K36" s="22"/>
      <c r="L36" s="22">
        <v>94</v>
      </c>
      <c r="M36" s="22">
        <f t="shared" si="2"/>
        <v>92.454928571428567</v>
      </c>
      <c r="O36" s="2">
        <v>5</v>
      </c>
      <c r="P36" s="2">
        <v>82</v>
      </c>
      <c r="Q36" s="2">
        <f t="shared" si="0"/>
        <v>87</v>
      </c>
      <c r="R36" s="2">
        <v>27</v>
      </c>
      <c r="S36" s="22">
        <f>27*(100/28)</f>
        <v>96.428571428571431</v>
      </c>
      <c r="T36" s="22">
        <v>88.849761904761905</v>
      </c>
      <c r="U36" s="58">
        <f t="shared" si="3"/>
        <v>90.318571428571332</v>
      </c>
    </row>
    <row r="37" spans="1:21" s="2" customFormat="1" ht="15" customHeight="1" x14ac:dyDescent="0.15">
      <c r="A37" s="6" t="s">
        <v>113</v>
      </c>
      <c r="B37" s="7" t="s">
        <v>114</v>
      </c>
      <c r="C37" s="8" t="s">
        <v>115</v>
      </c>
      <c r="D37" s="9">
        <v>63</v>
      </c>
      <c r="E37" s="21">
        <v>84.31</v>
      </c>
      <c r="F37" s="21">
        <v>83</v>
      </c>
      <c r="G37" s="21">
        <v>121.30999999999997</v>
      </c>
      <c r="H37" s="21"/>
      <c r="I37" s="9"/>
      <c r="J37" s="18">
        <f t="shared" si="1"/>
        <v>83.155000000000001</v>
      </c>
      <c r="K37" s="22"/>
      <c r="L37" s="22">
        <v>76</v>
      </c>
      <c r="M37" s="22">
        <f t="shared" si="2"/>
        <v>78.146500000000003</v>
      </c>
      <c r="O37" s="2">
        <v>1</v>
      </c>
      <c r="P37" s="2">
        <v>82</v>
      </c>
      <c r="Q37" s="2">
        <f t="shared" si="0"/>
        <v>83</v>
      </c>
      <c r="R37" s="2">
        <v>28</v>
      </c>
      <c r="S37" s="22">
        <f>28*(100/28)</f>
        <v>100</v>
      </c>
      <c r="T37" s="22">
        <v>83.155000000000001</v>
      </c>
      <c r="U37" s="58">
        <f t="shared" si="3"/>
        <v>121.30999999999997</v>
      </c>
    </row>
    <row r="38" spans="1:21" s="2" customFormat="1" ht="15" customHeight="1" x14ac:dyDescent="0.15">
      <c r="A38" s="6" t="s">
        <v>116</v>
      </c>
      <c r="B38" s="7" t="s">
        <v>117</v>
      </c>
      <c r="C38" s="8" t="s">
        <v>118</v>
      </c>
      <c r="D38" s="9">
        <v>75</v>
      </c>
      <c r="E38" s="21">
        <v>82.48</v>
      </c>
      <c r="F38" s="21">
        <v>82</v>
      </c>
      <c r="G38" s="21">
        <v>93.194285714285684</v>
      </c>
      <c r="H38" s="21"/>
      <c r="I38" s="9"/>
      <c r="J38" s="18">
        <f t="shared" si="1"/>
        <v>81.692380952380958</v>
      </c>
      <c r="K38" s="22"/>
      <c r="L38" s="22">
        <v>72.5</v>
      </c>
      <c r="M38" s="22">
        <f t="shared" si="2"/>
        <v>75.257714285714286</v>
      </c>
      <c r="P38" s="2">
        <v>82</v>
      </c>
      <c r="Q38" s="2">
        <f t="shared" si="0"/>
        <v>82</v>
      </c>
      <c r="R38" s="2">
        <v>24</v>
      </c>
      <c r="S38" s="22">
        <f>24*(100/28)</f>
        <v>85.714285714285722</v>
      </c>
      <c r="T38" s="22">
        <v>81.692380952380958</v>
      </c>
      <c r="U38" s="58">
        <f t="shared" si="3"/>
        <v>93.194285714285684</v>
      </c>
    </row>
    <row r="39" spans="1:21" s="2" customFormat="1" ht="15" customHeight="1" x14ac:dyDescent="0.15">
      <c r="A39" s="6" t="s">
        <v>119</v>
      </c>
      <c r="B39" s="7" t="s">
        <v>120</v>
      </c>
      <c r="C39" s="8" t="s">
        <v>121</v>
      </c>
      <c r="D39" s="9">
        <v>83</v>
      </c>
      <c r="E39" s="21">
        <v>77.83</v>
      </c>
      <c r="F39" s="21">
        <v>83</v>
      </c>
      <c r="G39" s="21">
        <v>69.829999999999956</v>
      </c>
      <c r="H39" s="21"/>
      <c r="I39" s="9"/>
      <c r="J39" s="18">
        <f t="shared" si="1"/>
        <v>79.081666666666678</v>
      </c>
      <c r="K39" s="22"/>
      <c r="L39" s="22">
        <v>84</v>
      </c>
      <c r="M39" s="22">
        <f t="shared" si="2"/>
        <v>82.524500000000003</v>
      </c>
      <c r="O39" s="2">
        <v>1</v>
      </c>
      <c r="P39" s="2">
        <v>82</v>
      </c>
      <c r="Q39" s="2">
        <f t="shared" si="0"/>
        <v>83</v>
      </c>
      <c r="R39" s="2">
        <v>21</v>
      </c>
      <c r="S39" s="22">
        <f>21*(100/28)</f>
        <v>75</v>
      </c>
      <c r="T39" s="22">
        <v>79.081666666666663</v>
      </c>
      <c r="U39" s="58">
        <f t="shared" si="3"/>
        <v>69.829999999999956</v>
      </c>
    </row>
    <row r="40" spans="1:21" s="2" customFormat="1" ht="15" customHeight="1" x14ac:dyDescent="0.15">
      <c r="A40" s="6" t="s">
        <v>122</v>
      </c>
      <c r="B40" s="7" t="s">
        <v>123</v>
      </c>
      <c r="C40" s="8" t="s">
        <v>124</v>
      </c>
      <c r="D40" s="9">
        <v>100</v>
      </c>
      <c r="E40" s="21">
        <v>87.39</v>
      </c>
      <c r="F40" s="38">
        <v>100</v>
      </c>
      <c r="G40" s="21">
        <v>83.818571428571431</v>
      </c>
      <c r="H40" s="21"/>
      <c r="I40" s="9"/>
      <c r="J40" s="18">
        <f>(D40*0.1+E40*0.1+F40*0.05+G40*0.05)*100/30</f>
        <v>93.099761904761905</v>
      </c>
      <c r="K40" s="22"/>
      <c r="L40" s="22">
        <v>94</v>
      </c>
      <c r="M40" s="22">
        <f t="shared" si="2"/>
        <v>93.729928571428573</v>
      </c>
      <c r="N40" s="2">
        <v>5</v>
      </c>
      <c r="O40" s="2">
        <v>15</v>
      </c>
      <c r="P40" s="2">
        <v>82</v>
      </c>
      <c r="Q40" s="26">
        <f t="shared" si="0"/>
        <v>102</v>
      </c>
      <c r="R40" s="2">
        <v>27</v>
      </c>
      <c r="S40" s="22">
        <f>27*(100/28)</f>
        <v>96.428571428571431</v>
      </c>
      <c r="T40" s="22">
        <v>93.099761904761905</v>
      </c>
      <c r="U40" s="58">
        <f t="shared" si="3"/>
        <v>83.818571428571431</v>
      </c>
    </row>
    <row r="41" spans="1:21" s="2" customFormat="1" ht="15" customHeight="1" x14ac:dyDescent="0.15">
      <c r="A41" s="6" t="s">
        <v>125</v>
      </c>
      <c r="B41" s="7" t="s">
        <v>126</v>
      </c>
      <c r="C41" s="8" t="s">
        <v>127</v>
      </c>
      <c r="D41" s="9">
        <v>96</v>
      </c>
      <c r="E41" s="21">
        <v>86.87</v>
      </c>
      <c r="F41" s="21">
        <v>95</v>
      </c>
      <c r="G41" s="21">
        <v>83.727142857142809</v>
      </c>
      <c r="H41" s="21"/>
      <c r="I41" s="9"/>
      <c r="J41" s="18">
        <f t="shared" si="1"/>
        <v>90.744523809523812</v>
      </c>
      <c r="K41" s="22"/>
      <c r="L41" s="22">
        <v>91</v>
      </c>
      <c r="M41" s="22">
        <f t="shared" si="2"/>
        <v>90.923357142857142</v>
      </c>
      <c r="O41" s="2">
        <v>13</v>
      </c>
      <c r="P41" s="2">
        <v>82</v>
      </c>
      <c r="Q41" s="2">
        <f t="shared" si="0"/>
        <v>95</v>
      </c>
      <c r="R41" s="2">
        <v>26</v>
      </c>
      <c r="S41" s="22">
        <f>26*(100/28)</f>
        <v>92.857142857142861</v>
      </c>
      <c r="T41" s="22">
        <v>90.744523809523812</v>
      </c>
      <c r="U41" s="58">
        <f t="shared" si="3"/>
        <v>83.727142857142809</v>
      </c>
    </row>
    <row r="42" spans="1:21" s="2" customFormat="1" ht="15" customHeight="1" x14ac:dyDescent="0.15">
      <c r="A42" s="6" t="s">
        <v>128</v>
      </c>
      <c r="B42" s="7" t="s">
        <v>129</v>
      </c>
      <c r="C42" s="8" t="s">
        <v>130</v>
      </c>
      <c r="D42" s="9">
        <v>92</v>
      </c>
      <c r="E42" s="21">
        <v>85.42</v>
      </c>
      <c r="F42" s="21">
        <v>98</v>
      </c>
      <c r="G42" s="21">
        <v>68.419999999999987</v>
      </c>
      <c r="H42" s="21"/>
      <c r="I42" s="9"/>
      <c r="J42" s="18">
        <f t="shared" si="1"/>
        <v>86.876666666666679</v>
      </c>
      <c r="K42" s="22"/>
      <c r="L42" s="22">
        <v>98</v>
      </c>
      <c r="M42" s="22">
        <f t="shared" si="2"/>
        <v>94.662999999999997</v>
      </c>
      <c r="O42" s="2">
        <v>16</v>
      </c>
      <c r="P42" s="2">
        <v>82</v>
      </c>
      <c r="Q42" s="2">
        <f t="shared" si="0"/>
        <v>98</v>
      </c>
      <c r="R42" s="2">
        <v>21</v>
      </c>
      <c r="S42" s="22">
        <f>21*(100/28)</f>
        <v>75</v>
      </c>
      <c r="T42" s="22">
        <v>86.876666666666679</v>
      </c>
      <c r="U42" s="58">
        <f>(T42*0.3-D42*0.1-E42*0.1-F42*0.05)*100/5</f>
        <v>68.419999999999987</v>
      </c>
    </row>
    <row r="43" spans="1:21" s="2" customFormat="1" ht="15" customHeight="1" x14ac:dyDescent="0.15">
      <c r="A43" s="6" t="s">
        <v>131</v>
      </c>
      <c r="B43" s="7" t="s">
        <v>132</v>
      </c>
      <c r="C43" s="8" t="s">
        <v>133</v>
      </c>
      <c r="D43" s="9">
        <v>92</v>
      </c>
      <c r="E43" s="21">
        <v>91.47</v>
      </c>
      <c r="F43" s="38">
        <v>100</v>
      </c>
      <c r="G43" s="21">
        <v>92.327142857142775</v>
      </c>
      <c r="H43" s="21"/>
      <c r="I43" s="9"/>
      <c r="J43" s="18">
        <f t="shared" si="1"/>
        <v>93.211190476190467</v>
      </c>
      <c r="K43" s="22"/>
      <c r="L43" s="22">
        <v>100</v>
      </c>
      <c r="M43" s="22">
        <f t="shared" si="2"/>
        <v>97.963357142857134</v>
      </c>
      <c r="O43" s="2">
        <v>20</v>
      </c>
      <c r="P43" s="2">
        <v>82</v>
      </c>
      <c r="Q43" s="26">
        <f t="shared" si="0"/>
        <v>102</v>
      </c>
      <c r="R43" s="2">
        <v>26</v>
      </c>
      <c r="S43" s="22">
        <f>26*(100/28)</f>
        <v>92.857142857142861</v>
      </c>
      <c r="T43" s="22">
        <v>93.211190476190467</v>
      </c>
      <c r="U43" s="58">
        <f t="shared" si="3"/>
        <v>92.327142857142775</v>
      </c>
    </row>
    <row r="44" spans="1:21" s="2" customFormat="1" ht="15" customHeight="1" x14ac:dyDescent="0.15">
      <c r="A44" s="6" t="s">
        <v>134</v>
      </c>
      <c r="B44" s="7" t="s">
        <v>135</v>
      </c>
      <c r="C44" s="8" t="s">
        <v>136</v>
      </c>
      <c r="D44" s="9">
        <v>83</v>
      </c>
      <c r="E44" s="21">
        <v>90.18</v>
      </c>
      <c r="F44" s="21">
        <v>94</v>
      </c>
      <c r="G44" s="21">
        <v>100.0371428571428</v>
      </c>
      <c r="H44" s="21"/>
      <c r="I44" s="9"/>
      <c r="J44" s="18">
        <f t="shared" si="1"/>
        <v>90.066190476190471</v>
      </c>
      <c r="K44" s="22"/>
      <c r="L44" s="22">
        <v>97</v>
      </c>
      <c r="M44" s="22">
        <f t="shared" si="2"/>
        <v>94.919857142857126</v>
      </c>
      <c r="O44" s="2">
        <v>12</v>
      </c>
      <c r="P44" s="2">
        <v>82</v>
      </c>
      <c r="Q44" s="2">
        <f t="shared" si="0"/>
        <v>94</v>
      </c>
      <c r="R44" s="2">
        <v>26</v>
      </c>
      <c r="S44" s="22">
        <f>26*(100/28)</f>
        <v>92.857142857142861</v>
      </c>
      <c r="T44" s="22">
        <v>90.066190476190471</v>
      </c>
      <c r="U44" s="58">
        <f t="shared" si="3"/>
        <v>100.0371428571428</v>
      </c>
    </row>
    <row r="45" spans="1:21" s="3" customFormat="1" ht="12" x14ac:dyDescent="0.15">
      <c r="B45" s="10"/>
      <c r="C45" s="11"/>
    </row>
    <row r="46" spans="1:21" hidden="1" x14ac:dyDescent="0.15">
      <c r="B46" s="53" t="s">
        <v>6</v>
      </c>
      <c r="C46" s="53"/>
      <c r="D46" s="53"/>
      <c r="E46" s="53"/>
      <c r="F46" s="53"/>
      <c r="G46" s="53"/>
      <c r="H46" s="53"/>
      <c r="I46" s="53"/>
      <c r="J46" s="53"/>
    </row>
    <row r="47" spans="1:21" hidden="1" x14ac:dyDescent="0.15">
      <c r="A47" s="54" t="s">
        <v>7</v>
      </c>
      <c r="B47" s="55"/>
      <c r="C47" s="12" t="s">
        <v>8</v>
      </c>
      <c r="D47" s="12" t="s">
        <v>9</v>
      </c>
      <c r="E47" s="12" t="s">
        <v>10</v>
      </c>
      <c r="F47" s="12" t="s">
        <v>11</v>
      </c>
      <c r="G47" s="12" t="s">
        <v>12</v>
      </c>
      <c r="H47" s="27" t="s">
        <v>13</v>
      </c>
      <c r="I47" s="56" t="s">
        <v>14</v>
      </c>
      <c r="J47" s="57"/>
    </row>
    <row r="48" spans="1:21" hidden="1" x14ac:dyDescent="0.15">
      <c r="A48" s="50"/>
      <c r="B48" s="50"/>
      <c r="C48" s="13"/>
      <c r="D48" s="13"/>
      <c r="E48" s="13"/>
      <c r="F48" s="14"/>
      <c r="G48" s="14"/>
      <c r="H48" s="28"/>
      <c r="I48" s="51"/>
      <c r="J48" s="52"/>
    </row>
    <row r="49" spans="2:10" ht="15" customHeight="1" x14ac:dyDescent="0.15"/>
    <row r="50" spans="2:10" ht="15" customHeight="1" x14ac:dyDescent="0.15"/>
    <row r="51" spans="2:10" x14ac:dyDescent="0.15">
      <c r="B51" s="15" t="s">
        <v>15</v>
      </c>
      <c r="C51" s="16"/>
      <c r="D51" s="17"/>
      <c r="E51" s="17"/>
      <c r="G51" s="15" t="s">
        <v>16</v>
      </c>
      <c r="I51" s="17"/>
      <c r="J51" s="17"/>
    </row>
  </sheetData>
  <mergeCells count="21">
    <mergeCell ref="A48:B48"/>
    <mergeCell ref="I48:J48"/>
    <mergeCell ref="B46:J46"/>
    <mergeCell ref="A47:B47"/>
    <mergeCell ref="I47:J47"/>
    <mergeCell ref="I4:I5"/>
    <mergeCell ref="J3:J5"/>
    <mergeCell ref="D3:I3"/>
    <mergeCell ref="A1:J1"/>
    <mergeCell ref="A2:C2"/>
    <mergeCell ref="D2:F2"/>
    <mergeCell ref="G2:H2"/>
    <mergeCell ref="I2:J2"/>
    <mergeCell ref="A3:A5"/>
    <mergeCell ref="B3:B5"/>
    <mergeCell ref="C3:C5"/>
    <mergeCell ref="D4:D5"/>
    <mergeCell ref="E4:E5"/>
    <mergeCell ref="F4:F5"/>
    <mergeCell ref="G4:G5"/>
    <mergeCell ref="H4:H5"/>
  </mergeCells>
  <phoneticPr fontId="24" type="noConversion"/>
  <conditionalFormatting sqref="M6:M44">
    <cfRule type="cellIs" dxfId="0" priority="1" operator="lessThan">
      <formula>60</formula>
    </cfRule>
  </conditionalFormatting>
  <printOptions horizontalCentered="1"/>
  <pageMargins left="0.11811023622047245" right="0.11811023622047245" top="0.39370078740157483" bottom="0.51181102362204722" header="0.39370078740157483" footer="0.51181102362204722"/>
  <pageSetup paperSize="9" scale="98" orientation="portrait" horizontalDpi="300" verticalDpi="300" r:id="rId1"/>
  <rowBreaks count="1" manualBreakCount="1">
    <brk id="51" max="16383" man="1"/>
  </rowBreaks>
  <colBreaks count="1" manualBreakCount="1">
    <brk id="11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817A-1B7A-45D2-8CB7-A47A8B69CE33}">
  <sheetPr>
    <pageSetUpPr autoPageBreaks="0"/>
  </sheetPr>
  <dimension ref="A1:M40"/>
  <sheetViews>
    <sheetView zoomScaleNormal="100" zoomScaleSheetLayoutView="100" workbookViewId="0">
      <selection activeCell="M9" sqref="M9:M10"/>
    </sheetView>
  </sheetViews>
  <sheetFormatPr defaultColWidth="9" defaultRowHeight="14.25" x14ac:dyDescent="0.15"/>
  <cols>
    <col min="2" max="2" width="15" bestFit="1" customWidth="1"/>
    <col min="7" max="7" width="9.5" bestFit="1" customWidth="1"/>
    <col min="8" max="8" width="12.75" bestFit="1" customWidth="1"/>
    <col min="9" max="9" width="13.875" bestFit="1" customWidth="1"/>
    <col min="11" max="11" width="13.875" bestFit="1" customWidth="1"/>
  </cols>
  <sheetData>
    <row r="1" spans="1:13" x14ac:dyDescent="0.15">
      <c r="A1" s="23" t="s">
        <v>147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3" x14ac:dyDescent="0.15">
      <c r="A2" s="23">
        <v>59</v>
      </c>
      <c r="B2" s="24"/>
      <c r="J2" s="25"/>
    </row>
    <row r="3" spans="1:13" x14ac:dyDescent="0.15">
      <c r="A3" s="23">
        <v>67</v>
      </c>
      <c r="B3" s="24"/>
      <c r="J3" s="25"/>
    </row>
    <row r="4" spans="1:13" x14ac:dyDescent="0.15">
      <c r="A4" s="23">
        <v>81</v>
      </c>
      <c r="B4" s="24"/>
      <c r="J4" s="25"/>
    </row>
    <row r="5" spans="1:13" x14ac:dyDescent="0.15">
      <c r="A5">
        <v>79</v>
      </c>
      <c r="G5" s="31" t="s">
        <v>148</v>
      </c>
      <c r="H5" s="29" t="s">
        <v>155</v>
      </c>
    </row>
    <row r="6" spans="1:13" x14ac:dyDescent="0.15">
      <c r="A6">
        <v>85</v>
      </c>
      <c r="G6" s="32" t="s">
        <v>150</v>
      </c>
      <c r="H6" s="29">
        <v>4</v>
      </c>
      <c r="M6" s="36">
        <f>4/39</f>
        <v>0.10256410256410256</v>
      </c>
    </row>
    <row r="7" spans="1:13" x14ac:dyDescent="0.15">
      <c r="A7">
        <v>70</v>
      </c>
      <c r="G7" s="33" t="s">
        <v>151</v>
      </c>
      <c r="H7" s="34">
        <v>3</v>
      </c>
      <c r="M7" s="36">
        <f>3/39</f>
        <v>7.6923076923076927E-2</v>
      </c>
    </row>
    <row r="8" spans="1:13" x14ac:dyDescent="0.15">
      <c r="A8">
        <v>78.5</v>
      </c>
      <c r="G8" s="33" t="s">
        <v>152</v>
      </c>
      <c r="H8" s="34">
        <v>9</v>
      </c>
      <c r="M8" s="36">
        <f>9/39</f>
        <v>0.23076923076923078</v>
      </c>
    </row>
    <row r="9" spans="1:13" x14ac:dyDescent="0.15">
      <c r="A9">
        <v>96</v>
      </c>
      <c r="G9" s="33" t="s">
        <v>153</v>
      </c>
      <c r="H9" s="34">
        <v>11</v>
      </c>
      <c r="M9" s="36">
        <f>11/39</f>
        <v>0.28205128205128205</v>
      </c>
    </row>
    <row r="10" spans="1:13" x14ac:dyDescent="0.15">
      <c r="A10">
        <v>86</v>
      </c>
      <c r="G10" s="33" t="s">
        <v>154</v>
      </c>
      <c r="H10" s="34">
        <v>12</v>
      </c>
      <c r="M10" s="36">
        <f>12/39</f>
        <v>0.30769230769230771</v>
      </c>
    </row>
    <row r="11" spans="1:13" x14ac:dyDescent="0.15">
      <c r="A11">
        <v>94</v>
      </c>
      <c r="G11" s="35" t="s">
        <v>149</v>
      </c>
      <c r="H11" s="30">
        <v>39</v>
      </c>
    </row>
    <row r="12" spans="1:13" x14ac:dyDescent="0.15">
      <c r="A12">
        <v>98</v>
      </c>
    </row>
    <row r="13" spans="1:13" x14ac:dyDescent="0.15">
      <c r="A13">
        <v>87</v>
      </c>
    </row>
    <row r="14" spans="1:13" x14ac:dyDescent="0.15">
      <c r="A14">
        <v>77</v>
      </c>
    </row>
    <row r="15" spans="1:13" x14ac:dyDescent="0.15">
      <c r="A15">
        <v>96</v>
      </c>
    </row>
    <row r="16" spans="1:13" x14ac:dyDescent="0.15">
      <c r="A16">
        <v>66</v>
      </c>
    </row>
    <row r="17" spans="1:1" x14ac:dyDescent="0.15">
      <c r="A17">
        <v>84.5</v>
      </c>
    </row>
    <row r="18" spans="1:1" x14ac:dyDescent="0.15">
      <c r="A18">
        <v>51.5</v>
      </c>
    </row>
    <row r="19" spans="1:1" x14ac:dyDescent="0.15">
      <c r="A19">
        <v>91</v>
      </c>
    </row>
    <row r="20" spans="1:1" x14ac:dyDescent="0.15">
      <c r="A20">
        <v>88</v>
      </c>
    </row>
    <row r="21" spans="1:1" x14ac:dyDescent="0.15">
      <c r="A21">
        <v>77</v>
      </c>
    </row>
    <row r="22" spans="1:1" x14ac:dyDescent="0.15">
      <c r="A22">
        <v>77</v>
      </c>
    </row>
    <row r="23" spans="1:1" x14ac:dyDescent="0.15">
      <c r="A23">
        <v>57</v>
      </c>
    </row>
    <row r="24" spans="1:1" x14ac:dyDescent="0.15">
      <c r="A24">
        <v>58.5</v>
      </c>
    </row>
    <row r="25" spans="1:1" x14ac:dyDescent="0.15">
      <c r="A25">
        <v>82</v>
      </c>
    </row>
    <row r="26" spans="1:1" x14ac:dyDescent="0.15">
      <c r="A26">
        <v>67</v>
      </c>
    </row>
    <row r="27" spans="1:1" x14ac:dyDescent="0.15">
      <c r="A27">
        <v>86</v>
      </c>
    </row>
    <row r="28" spans="1:1" x14ac:dyDescent="0.15">
      <c r="A28">
        <v>81</v>
      </c>
    </row>
    <row r="29" spans="1:1" x14ac:dyDescent="0.15">
      <c r="A29">
        <v>91</v>
      </c>
    </row>
    <row r="30" spans="1:1" x14ac:dyDescent="0.15">
      <c r="A30">
        <v>86.5</v>
      </c>
    </row>
    <row r="31" spans="1:1" x14ac:dyDescent="0.15">
      <c r="A31">
        <v>76</v>
      </c>
    </row>
    <row r="32" spans="1:1" x14ac:dyDescent="0.15">
      <c r="A32">
        <v>94</v>
      </c>
    </row>
    <row r="33" spans="1:1" x14ac:dyDescent="0.15">
      <c r="A33">
        <v>76</v>
      </c>
    </row>
    <row r="34" spans="1:1" x14ac:dyDescent="0.15">
      <c r="A34">
        <v>72.5</v>
      </c>
    </row>
    <row r="35" spans="1:1" x14ac:dyDescent="0.15">
      <c r="A35">
        <v>84</v>
      </c>
    </row>
    <row r="36" spans="1:1" x14ac:dyDescent="0.15">
      <c r="A36">
        <v>94</v>
      </c>
    </row>
    <row r="37" spans="1:1" x14ac:dyDescent="0.15">
      <c r="A37">
        <v>91</v>
      </c>
    </row>
    <row r="38" spans="1:1" x14ac:dyDescent="0.15">
      <c r="A38">
        <v>98</v>
      </c>
    </row>
    <row r="39" spans="1:1" x14ac:dyDescent="0.15">
      <c r="A39">
        <v>100</v>
      </c>
    </row>
    <row r="40" spans="1:1" x14ac:dyDescent="0.15">
      <c r="A40">
        <v>97</v>
      </c>
    </row>
  </sheetData>
  <phoneticPr fontId="24" type="noConversion"/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1499-AC1A-490E-955A-8C5ACA1355DE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柱形图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cn plaman</cp:lastModifiedBy>
  <cp:lastPrinted>2026-09-03T07:48:12Z</cp:lastPrinted>
  <dcterms:created xsi:type="dcterms:W3CDTF">1996-12-17T01:32:42Z</dcterms:created>
  <dcterms:modified xsi:type="dcterms:W3CDTF">2026-09-03T07:48:14Z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09AAAFAD601B4298BF46D50265CEF24A</vt:lpwstr>
  </property>
  <property fmtid="{D5CDD505-2E9C-101B-9397-08002B2CF9AE}" pid="3" name="KSOProductBuildVer">
    <vt:lpwstr>2052-12.1.0.23125</vt:lpwstr>
  </property>
</Properties>
</file>