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lplaman.github.io\utils\file\"/>
    </mc:Choice>
  </mc:AlternateContent>
  <xr:revisionPtr revIDLastSave="0" documentId="13_ncr:1_{A96BDFFF-5521-43F8-AE17-ED34204DC01D}" xr6:coauthVersionLast="47" xr6:coauthVersionMax="47" xr10:uidLastSave="{00000000-0000-0000-0000-000000000000}"/>
  <bookViews>
    <workbookView xWindow="-120" yWindow="-120" windowWidth="29040" windowHeight="15720" activeTab="2" xr2:uid="{BFD98EF5-1B00-4EFB-A1F5-EAEBE96890F2}"/>
  </bookViews>
  <sheets>
    <sheet name="2025-2026" sheetId="1" r:id="rId1"/>
    <sheet name="work" sheetId="2" r:id="rId2"/>
    <sheet name="2026-2027-1" sheetId="3" r:id="rId3"/>
  </sheets>
  <definedNames>
    <definedName name="_xlnm._FilterDatabase" localSheetId="0" hidden="1">'2025-2026'!$C$2:$I$9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1" i="2" l="1"/>
  <c r="B11" i="2"/>
  <c r="E11" i="2"/>
  <c r="D11" i="2"/>
</calcChain>
</file>

<file path=xl/sharedStrings.xml><?xml version="1.0" encoding="utf-8"?>
<sst xmlns="http://schemas.openxmlformats.org/spreadsheetml/2006/main" count="152" uniqueCount="57">
  <si>
    <t>张文越</t>
    <phoneticPr fontId="1" type="noConversion"/>
  </si>
  <si>
    <t>人员</t>
    <phoneticPr fontId="1" type="noConversion"/>
  </si>
  <si>
    <t>刘金</t>
    <phoneticPr fontId="1" type="noConversion"/>
  </si>
  <si>
    <t>向梓烨</t>
    <phoneticPr fontId="1" type="noConversion"/>
  </si>
  <si>
    <t>姚竣轩</t>
    <phoneticPr fontId="1" type="noConversion"/>
  </si>
  <si>
    <t>邓楷桥</t>
    <phoneticPr fontId="1" type="noConversion"/>
  </si>
  <si>
    <t>梁志森</t>
    <phoneticPr fontId="1" type="noConversion"/>
  </si>
  <si>
    <t>陈培铭</t>
    <phoneticPr fontId="1" type="noConversion"/>
  </si>
  <si>
    <t>温俊贤</t>
    <phoneticPr fontId="1" type="noConversion"/>
  </si>
  <si>
    <t>√</t>
  </si>
  <si>
    <t>论文</t>
    <phoneticPr fontId="1" type="noConversion"/>
  </si>
  <si>
    <t>√</t>
    <phoneticPr fontId="1" type="noConversion"/>
  </si>
  <si>
    <t>U 档案材料</t>
    <phoneticPr fontId="1" type="noConversion"/>
  </si>
  <si>
    <t>2025-2026-1</t>
    <phoneticPr fontId="1" type="noConversion"/>
  </si>
  <si>
    <t>2025-2026-2</t>
    <phoneticPr fontId="1" type="noConversion"/>
  </si>
  <si>
    <t>2026-2027-1</t>
    <phoneticPr fontId="1" type="noConversion"/>
  </si>
  <si>
    <t>学期</t>
    <phoneticPr fontId="1" type="noConversion"/>
  </si>
  <si>
    <t>课程</t>
    <phoneticPr fontId="1" type="noConversion"/>
  </si>
  <si>
    <t>课时</t>
    <phoneticPr fontId="1" type="noConversion"/>
  </si>
  <si>
    <t>计算机网络</t>
    <phoneticPr fontId="1" type="noConversion"/>
  </si>
  <si>
    <t>班级</t>
    <phoneticPr fontId="1" type="noConversion"/>
  </si>
  <si>
    <t>计算机应用基础</t>
    <phoneticPr fontId="1" type="noConversion"/>
  </si>
  <si>
    <t>软件项目管理</t>
    <phoneticPr fontId="1" type="noConversion"/>
  </si>
  <si>
    <t>23计算机12班</t>
    <phoneticPr fontId="1" type="noConversion"/>
  </si>
  <si>
    <t>25机械1-2班</t>
    <phoneticPr fontId="1" type="noConversion"/>
  </si>
  <si>
    <t>25机械3-4班</t>
    <phoneticPr fontId="1" type="noConversion"/>
  </si>
  <si>
    <t>25机械7-8班</t>
    <phoneticPr fontId="1" type="noConversion"/>
  </si>
  <si>
    <t>25计科4班</t>
    <phoneticPr fontId="1" type="noConversion"/>
  </si>
  <si>
    <t>25计科6班</t>
    <phoneticPr fontId="1" type="noConversion"/>
  </si>
  <si>
    <t>24计科4班</t>
    <phoneticPr fontId="1" type="noConversion"/>
  </si>
  <si>
    <t>24计科2班</t>
    <phoneticPr fontId="1" type="noConversion"/>
  </si>
  <si>
    <t>24计科6班</t>
    <phoneticPr fontId="1" type="noConversion"/>
  </si>
  <si>
    <t>汇总</t>
  </si>
  <si>
    <t>实际课时</t>
    <phoneticPr fontId="1" type="noConversion"/>
  </si>
  <si>
    <t>状态</t>
    <phoneticPr fontId="1" type="noConversion"/>
  </si>
  <si>
    <t>结课</t>
  </si>
  <si>
    <t>授课</t>
  </si>
  <si>
    <t>10-601</t>
    <phoneticPr fontId="1" type="noConversion"/>
  </si>
  <si>
    <t>计算机应用基础补考</t>
    <phoneticPr fontId="1" type="noConversion"/>
  </si>
  <si>
    <t>江国裕、冯伟昌</t>
    <phoneticPr fontId="1" type="noConversion"/>
  </si>
  <si>
    <t>Transactor</t>
    <phoneticPr fontId="1" type="noConversion"/>
  </si>
  <si>
    <t>单晴敏</t>
    <phoneticPr fontId="1" type="noConversion"/>
  </si>
  <si>
    <t>Event</t>
    <phoneticPr fontId="1" type="noConversion"/>
  </si>
  <si>
    <t>Location</t>
    <phoneticPr fontId="1" type="noConversion"/>
  </si>
  <si>
    <t>Time</t>
    <phoneticPr fontId="1" type="noConversion"/>
  </si>
  <si>
    <t>Date</t>
    <phoneticPr fontId="1" type="noConversion"/>
  </si>
  <si>
    <t>SN</t>
    <phoneticPr fontId="1" type="noConversion"/>
  </si>
  <si>
    <t>Mem</t>
    <phoneticPr fontId="1" type="noConversion"/>
  </si>
  <si>
    <t>13:30-15:30</t>
    <phoneticPr fontId="1" type="noConversion"/>
  </si>
  <si>
    <t>徐伟</t>
    <phoneticPr fontId="1" type="noConversion"/>
  </si>
  <si>
    <t>王学恒</t>
    <phoneticPr fontId="1" type="noConversion"/>
  </si>
  <si>
    <t>听课</t>
    <phoneticPr fontId="1" type="noConversion"/>
  </si>
  <si>
    <t>计算机网络物理层</t>
    <phoneticPr fontId="1" type="noConversion"/>
  </si>
  <si>
    <t>计算机网络概述</t>
    <phoneticPr fontId="1" type="noConversion"/>
  </si>
  <si>
    <t>12节</t>
    <phoneticPr fontId="1" type="noConversion"/>
  </si>
  <si>
    <t>4-502a</t>
    <phoneticPr fontId="1" type="noConversion"/>
  </si>
  <si>
    <t>4-505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</si>
</sst>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14" fontId="0" fillId="0" borderId="0" xfId="0" applyNumberFormat="1">
      <alignment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58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322A64-28FB-4665-8D43-A0E4C71D1C96}" name="表1" displayName="表1" ref="A1:F11" totalsRowCount="1">
  <autoFilter ref="A1:F10" xr:uid="{1A322A64-28FB-4665-8D43-A0E4C71D1C96}">
    <filterColumn colId="5">
      <filters>
        <filter val="结课"/>
      </filters>
    </filterColumn>
  </autoFilter>
  <tableColumns count="6">
    <tableColumn id="1" xr3:uid="{C5254627-FA8A-4E01-A198-1D51028D2712}" name="学期" totalsRowLabel="汇总"/>
    <tableColumn id="2" xr3:uid="{57E33647-4F73-4731-92CC-501FB9F9F102}" name="课程" totalsRowFunction="count"/>
    <tableColumn id="4" xr3:uid="{55786C4F-B596-4E79-8CEC-DB485EC8E79C}" name="班级" totalsRowFunction="count"/>
    <tableColumn id="3" xr3:uid="{35E11D61-DF1D-4423-8286-8527F3F6C5A0}" name="课时" totalsRowFunction="sum"/>
    <tableColumn id="5" xr3:uid="{B71B17B5-CAFE-4A1E-918C-A997E94C4078}" name="实际课时" totalsRowFunction="sum"/>
    <tableColumn id="6" xr3:uid="{EE7624EE-31BE-4909-BF8A-3B99C721EE22}" name="状态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39B3A-2AB9-40EE-9E30-5B19DA870949}">
  <dimension ref="A1:X10"/>
  <sheetViews>
    <sheetView workbookViewId="0">
      <selection activeCell="A7" sqref="A7:XFD7"/>
    </sheetView>
  </sheetViews>
  <sheetFormatPr defaultRowHeight="20.100000000000001" customHeight="1" x14ac:dyDescent="0.2"/>
  <cols>
    <col min="1" max="1" width="10.625" style="3" customWidth="1"/>
    <col min="2" max="2" width="12.375" style="3" bestFit="1" customWidth="1"/>
    <col min="3" max="24" width="10.625" customWidth="1"/>
  </cols>
  <sheetData>
    <row r="1" spans="1:24" ht="20.100000000000001" customHeight="1" x14ac:dyDescent="0.2">
      <c r="A1" s="3" t="s">
        <v>1</v>
      </c>
      <c r="B1" s="3" t="s">
        <v>10</v>
      </c>
      <c r="C1" s="1">
        <v>45995</v>
      </c>
      <c r="D1" s="1">
        <v>46006</v>
      </c>
      <c r="E1" s="1">
        <v>46029</v>
      </c>
      <c r="F1" s="1">
        <v>46029</v>
      </c>
      <c r="G1" s="1">
        <v>46038</v>
      </c>
      <c r="H1" s="1">
        <v>46041</v>
      </c>
      <c r="I1" s="1">
        <v>46087</v>
      </c>
      <c r="J1" s="1">
        <v>46093</v>
      </c>
      <c r="K1" s="1">
        <v>46096</v>
      </c>
      <c r="L1" s="1">
        <v>46097</v>
      </c>
      <c r="M1" s="1">
        <v>46100</v>
      </c>
      <c r="N1" s="1">
        <v>46102</v>
      </c>
      <c r="O1" s="1">
        <v>46108</v>
      </c>
      <c r="P1" s="1">
        <v>46119</v>
      </c>
      <c r="Q1" s="1">
        <v>46120</v>
      </c>
      <c r="R1" s="1">
        <v>46122</v>
      </c>
      <c r="S1" s="1">
        <v>46125</v>
      </c>
      <c r="T1" s="1">
        <v>46127</v>
      </c>
      <c r="U1" s="1">
        <v>46132</v>
      </c>
      <c r="V1" s="1">
        <v>46133</v>
      </c>
      <c r="W1" s="1">
        <v>46134</v>
      </c>
      <c r="X1" s="1">
        <v>46141</v>
      </c>
    </row>
    <row r="2" spans="1:24" ht="20.100000000000001" customHeight="1" x14ac:dyDescent="0.2">
      <c r="A2" s="3" t="s">
        <v>0</v>
      </c>
      <c r="B2" s="3" t="s">
        <v>11</v>
      </c>
      <c r="C2" s="2" t="s">
        <v>9</v>
      </c>
      <c r="D2" s="3" t="s">
        <v>9</v>
      </c>
      <c r="E2" s="3" t="s">
        <v>9</v>
      </c>
      <c r="F2" s="3" t="s">
        <v>9</v>
      </c>
      <c r="G2" s="3"/>
      <c r="H2" s="3"/>
      <c r="I2" s="3"/>
      <c r="J2" s="3" t="s">
        <v>9</v>
      </c>
      <c r="K2" s="3"/>
      <c r="L2" s="4" t="s">
        <v>9</v>
      </c>
      <c r="M2" s="3"/>
      <c r="N2" s="3"/>
      <c r="O2" s="3" t="s">
        <v>9</v>
      </c>
      <c r="P2" s="3"/>
      <c r="W2" s="4" t="s">
        <v>9</v>
      </c>
      <c r="X2" s="4" t="s">
        <v>9</v>
      </c>
    </row>
    <row r="3" spans="1:24" ht="20.100000000000001" customHeight="1" x14ac:dyDescent="0.2">
      <c r="A3" s="3" t="s">
        <v>6</v>
      </c>
      <c r="B3" s="3" t="s">
        <v>12</v>
      </c>
      <c r="C3" s="2" t="s">
        <v>9</v>
      </c>
      <c r="D3" s="3" t="s">
        <v>9</v>
      </c>
      <c r="E3" s="3" t="s">
        <v>9</v>
      </c>
      <c r="F3" s="3" t="s">
        <v>9</v>
      </c>
      <c r="G3" s="3"/>
      <c r="H3" s="3" t="s">
        <v>9</v>
      </c>
      <c r="I3" s="3" t="s">
        <v>9</v>
      </c>
      <c r="J3" s="3" t="s">
        <v>9</v>
      </c>
      <c r="K3" s="3"/>
      <c r="L3" s="3"/>
      <c r="M3" s="3"/>
      <c r="N3" s="3"/>
      <c r="O3" s="3" t="s">
        <v>9</v>
      </c>
      <c r="P3" s="3"/>
      <c r="W3" s="4" t="s">
        <v>9</v>
      </c>
    </row>
    <row r="4" spans="1:24" ht="20.100000000000001" customHeight="1" x14ac:dyDescent="0.2">
      <c r="A4" s="5" t="s">
        <v>2</v>
      </c>
      <c r="C4" s="2" t="s">
        <v>9</v>
      </c>
      <c r="D4" s="3" t="s">
        <v>9</v>
      </c>
      <c r="E4" s="3" t="s">
        <v>9</v>
      </c>
      <c r="F4" s="3" t="s">
        <v>9</v>
      </c>
      <c r="G4" s="3"/>
      <c r="H4" s="3"/>
      <c r="I4" s="3"/>
      <c r="J4" s="3"/>
      <c r="K4" s="3"/>
      <c r="L4" s="3"/>
      <c r="M4" s="3"/>
      <c r="O4" s="3" t="s">
        <v>9</v>
      </c>
      <c r="P4" s="3"/>
      <c r="W4" s="4" t="s">
        <v>9</v>
      </c>
    </row>
    <row r="5" spans="1:24" ht="20.100000000000001" customHeight="1" x14ac:dyDescent="0.2">
      <c r="A5" s="3" t="s">
        <v>3</v>
      </c>
      <c r="B5" s="3" t="s">
        <v>11</v>
      </c>
      <c r="C5" s="2" t="s">
        <v>9</v>
      </c>
      <c r="D5" s="3" t="s">
        <v>9</v>
      </c>
      <c r="E5" s="3" t="s">
        <v>9</v>
      </c>
      <c r="F5" s="3" t="s">
        <v>9</v>
      </c>
      <c r="G5" s="3" t="s">
        <v>9</v>
      </c>
      <c r="H5" s="3" t="s">
        <v>9</v>
      </c>
      <c r="I5" s="3" t="s">
        <v>9</v>
      </c>
      <c r="J5" s="3" t="s">
        <v>9</v>
      </c>
      <c r="K5" s="3"/>
      <c r="L5" s="3"/>
      <c r="M5" s="4" t="s">
        <v>9</v>
      </c>
      <c r="N5" s="4" t="s">
        <v>9</v>
      </c>
      <c r="O5" s="3" t="s">
        <v>9</v>
      </c>
      <c r="P5" s="3"/>
      <c r="S5" s="4" t="s">
        <v>9</v>
      </c>
      <c r="T5" s="4" t="s">
        <v>9</v>
      </c>
      <c r="W5" s="4" t="s">
        <v>9</v>
      </c>
    </row>
    <row r="6" spans="1:24" ht="20.100000000000001" customHeight="1" x14ac:dyDescent="0.2">
      <c r="A6" s="3" t="s">
        <v>4</v>
      </c>
      <c r="B6" s="3" t="s">
        <v>11</v>
      </c>
      <c r="C6" s="2" t="s">
        <v>9</v>
      </c>
      <c r="D6" s="3" t="s">
        <v>9</v>
      </c>
      <c r="E6" s="3" t="s">
        <v>9</v>
      </c>
      <c r="F6" s="3" t="s">
        <v>9</v>
      </c>
      <c r="G6" s="3"/>
      <c r="H6" s="3"/>
      <c r="I6" s="3"/>
      <c r="J6" s="3"/>
      <c r="K6" s="3"/>
      <c r="L6" s="3"/>
      <c r="M6" s="4" t="s">
        <v>9</v>
      </c>
      <c r="N6" s="3"/>
      <c r="O6" s="3" t="s">
        <v>9</v>
      </c>
      <c r="P6" s="4" t="s">
        <v>9</v>
      </c>
      <c r="R6" s="4" t="s">
        <v>9</v>
      </c>
      <c r="T6" s="4" t="s">
        <v>9</v>
      </c>
      <c r="U6" s="4" t="s">
        <v>9</v>
      </c>
      <c r="W6" s="4" t="s">
        <v>9</v>
      </c>
    </row>
    <row r="7" spans="1:24" ht="20.100000000000001" customHeight="1" x14ac:dyDescent="0.2">
      <c r="A7" s="5" t="s">
        <v>5</v>
      </c>
      <c r="C7" s="2" t="s">
        <v>9</v>
      </c>
      <c r="D7" s="3" t="s">
        <v>9</v>
      </c>
      <c r="E7" s="3"/>
      <c r="F7" s="3"/>
      <c r="G7" s="3"/>
      <c r="H7" s="3"/>
      <c r="I7" s="3"/>
      <c r="J7" s="3"/>
      <c r="K7" s="4" t="s">
        <v>9</v>
      </c>
      <c r="L7" s="3"/>
      <c r="M7" s="3"/>
      <c r="N7" s="3"/>
      <c r="O7" s="3" t="s">
        <v>9</v>
      </c>
      <c r="P7" s="3"/>
      <c r="V7" s="4" t="s">
        <v>9</v>
      </c>
    </row>
    <row r="8" spans="1:24" ht="20.100000000000001" customHeight="1" x14ac:dyDescent="0.2">
      <c r="A8" s="3" t="s">
        <v>7</v>
      </c>
      <c r="B8" s="3" t="s">
        <v>11</v>
      </c>
      <c r="C8" s="2"/>
      <c r="D8" s="3" t="s">
        <v>9</v>
      </c>
      <c r="E8" s="3"/>
      <c r="F8" s="3" t="s">
        <v>9</v>
      </c>
      <c r="G8" s="3" t="s">
        <v>9</v>
      </c>
      <c r="H8" s="3" t="s">
        <v>9</v>
      </c>
      <c r="I8" s="3"/>
      <c r="J8" s="3"/>
      <c r="K8" s="3"/>
      <c r="L8" s="3"/>
      <c r="M8" s="3"/>
      <c r="N8" s="4" t="s">
        <v>9</v>
      </c>
      <c r="O8" s="3" t="s">
        <v>9</v>
      </c>
      <c r="P8" s="3"/>
      <c r="Q8" s="4" t="s">
        <v>9</v>
      </c>
      <c r="R8" s="4" t="s">
        <v>9</v>
      </c>
      <c r="U8" s="4" t="s">
        <v>9</v>
      </c>
      <c r="W8" s="4" t="s">
        <v>9</v>
      </c>
    </row>
    <row r="9" spans="1:24" ht="20.100000000000001" customHeight="1" x14ac:dyDescent="0.2">
      <c r="A9" s="3" t="s">
        <v>8</v>
      </c>
      <c r="C9" s="3"/>
      <c r="D9" s="3" t="s">
        <v>9</v>
      </c>
      <c r="E9" s="3" t="s">
        <v>9</v>
      </c>
      <c r="F9" s="3" t="s">
        <v>9</v>
      </c>
      <c r="G9" s="3"/>
      <c r="H9" s="3" t="s">
        <v>9</v>
      </c>
      <c r="I9" s="3" t="s">
        <v>9</v>
      </c>
      <c r="J9" s="3"/>
      <c r="K9" s="3"/>
      <c r="L9" s="3"/>
      <c r="M9" s="3"/>
      <c r="N9" s="3"/>
      <c r="O9" s="3" t="s">
        <v>9</v>
      </c>
      <c r="P9" s="4" t="s">
        <v>9</v>
      </c>
      <c r="S9" s="4" t="s">
        <v>9</v>
      </c>
    </row>
    <row r="10" spans="1:24" ht="20.100000000000001" customHeight="1" x14ac:dyDescent="0.2">
      <c r="C10" s="3"/>
      <c r="D10" s="3"/>
      <c r="E10" s="3"/>
      <c r="F10" s="3"/>
      <c r="G10" s="3"/>
      <c r="H10" s="3"/>
      <c r="I10" s="3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F3060-25CF-41B6-84B9-85ACF745730F}">
  <dimension ref="A1:F11"/>
  <sheetViews>
    <sheetView workbookViewId="0">
      <selection activeCell="F19" sqref="F19"/>
    </sheetView>
  </sheetViews>
  <sheetFormatPr defaultRowHeight="14.25" x14ac:dyDescent="0.2"/>
  <cols>
    <col min="1" max="1" width="12.75" bestFit="1" customWidth="1"/>
    <col min="2" max="2" width="15.125" bestFit="1" customWidth="1"/>
    <col min="3" max="3" width="13.375" bestFit="1" customWidth="1"/>
  </cols>
  <sheetData>
    <row r="1" spans="1:6" x14ac:dyDescent="0.2">
      <c r="A1" t="s">
        <v>16</v>
      </c>
      <c r="B1" t="s">
        <v>17</v>
      </c>
      <c r="C1" t="s">
        <v>20</v>
      </c>
      <c r="D1" t="s">
        <v>18</v>
      </c>
      <c r="E1" t="s">
        <v>33</v>
      </c>
      <c r="F1" t="s">
        <v>34</v>
      </c>
    </row>
    <row r="2" spans="1:6" x14ac:dyDescent="0.2">
      <c r="A2" t="s">
        <v>13</v>
      </c>
      <c r="B2" t="s">
        <v>19</v>
      </c>
      <c r="C2" t="s">
        <v>30</v>
      </c>
      <c r="D2">
        <v>48</v>
      </c>
      <c r="E2">
        <v>36</v>
      </c>
      <c r="F2" t="s">
        <v>35</v>
      </c>
    </row>
    <row r="3" spans="1:6" x14ac:dyDescent="0.2">
      <c r="A3" t="s">
        <v>13</v>
      </c>
      <c r="B3" t="s">
        <v>19</v>
      </c>
      <c r="C3" t="s">
        <v>29</v>
      </c>
      <c r="D3">
        <v>48</v>
      </c>
      <c r="E3">
        <v>24</v>
      </c>
      <c r="F3" t="s">
        <v>35</v>
      </c>
    </row>
    <row r="4" spans="1:6" x14ac:dyDescent="0.2">
      <c r="A4" t="s">
        <v>13</v>
      </c>
      <c r="B4" t="s">
        <v>19</v>
      </c>
      <c r="C4" t="s">
        <v>31</v>
      </c>
      <c r="D4">
        <v>48</v>
      </c>
      <c r="E4">
        <v>24</v>
      </c>
      <c r="F4" t="s">
        <v>35</v>
      </c>
    </row>
    <row r="5" spans="1:6" x14ac:dyDescent="0.2">
      <c r="A5" t="s">
        <v>14</v>
      </c>
      <c r="B5" t="s">
        <v>21</v>
      </c>
      <c r="C5" t="s">
        <v>24</v>
      </c>
      <c r="D5">
        <v>32</v>
      </c>
      <c r="E5">
        <v>32</v>
      </c>
      <c r="F5" t="s">
        <v>35</v>
      </c>
    </row>
    <row r="6" spans="1:6" x14ac:dyDescent="0.2">
      <c r="A6" t="s">
        <v>14</v>
      </c>
      <c r="B6" t="s">
        <v>21</v>
      </c>
      <c r="C6" t="s">
        <v>25</v>
      </c>
      <c r="D6">
        <v>32</v>
      </c>
      <c r="E6">
        <v>20</v>
      </c>
      <c r="F6" t="s">
        <v>35</v>
      </c>
    </row>
    <row r="7" spans="1:6" x14ac:dyDescent="0.2">
      <c r="A7" t="s">
        <v>14</v>
      </c>
      <c r="B7" t="s">
        <v>21</v>
      </c>
      <c r="C7" t="s">
        <v>26</v>
      </c>
      <c r="D7">
        <v>32</v>
      </c>
      <c r="E7">
        <v>32</v>
      </c>
      <c r="F7" t="s">
        <v>35</v>
      </c>
    </row>
    <row r="8" spans="1:6" x14ac:dyDescent="0.2">
      <c r="A8" t="s">
        <v>14</v>
      </c>
      <c r="B8" t="s">
        <v>22</v>
      </c>
      <c r="C8" t="s">
        <v>23</v>
      </c>
      <c r="D8">
        <v>32</v>
      </c>
      <c r="E8">
        <v>32</v>
      </c>
      <c r="F8" t="s">
        <v>35</v>
      </c>
    </row>
    <row r="9" spans="1:6" hidden="1" x14ac:dyDescent="0.2">
      <c r="A9" t="s">
        <v>15</v>
      </c>
      <c r="B9" t="s">
        <v>19</v>
      </c>
      <c r="C9" t="s">
        <v>27</v>
      </c>
      <c r="D9">
        <v>48</v>
      </c>
      <c r="E9">
        <v>48</v>
      </c>
      <c r="F9" t="s">
        <v>36</v>
      </c>
    </row>
    <row r="10" spans="1:6" hidden="1" x14ac:dyDescent="0.2">
      <c r="A10" t="s">
        <v>15</v>
      </c>
      <c r="B10" t="s">
        <v>19</v>
      </c>
      <c r="C10" t="s">
        <v>28</v>
      </c>
      <c r="D10">
        <v>48</v>
      </c>
      <c r="E10">
        <v>48</v>
      </c>
      <c r="F10" t="s">
        <v>36</v>
      </c>
    </row>
    <row r="11" spans="1:6" x14ac:dyDescent="0.2">
      <c r="A11" t="s">
        <v>32</v>
      </c>
      <c r="B11">
        <f>SUBTOTAL(103,表1[课程])</f>
        <v>7</v>
      </c>
      <c r="C11">
        <f>SUBTOTAL(103,表1[班级])</f>
        <v>7</v>
      </c>
      <c r="D11">
        <f>SUBTOTAL(109,表1[课时])</f>
        <v>272</v>
      </c>
      <c r="E11">
        <f>SUBTOTAL(109,表1[实际课时])</f>
        <v>200</v>
      </c>
    </row>
  </sheetData>
  <phoneticPr fontId="1" type="noConversion"/>
  <dataValidations count="1">
    <dataValidation type="list" allowBlank="1" showInputMessage="1" showErrorMessage="1" sqref="F2:F10" xr:uid="{43BD438B-3863-4334-B39F-4DF155038E7A}">
      <formula1>"结课,授课"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A24A8-D633-44C1-BBF9-DEBEEE85AC8B}">
  <dimension ref="A1:G4"/>
  <sheetViews>
    <sheetView tabSelected="1" workbookViewId="0">
      <selection activeCell="D4" sqref="D4"/>
    </sheetView>
  </sheetViews>
  <sheetFormatPr defaultRowHeight="14.25" x14ac:dyDescent="0.2"/>
  <cols>
    <col min="3" max="3" width="11.375" bestFit="1" customWidth="1"/>
    <col min="5" max="5" width="19.25" bestFit="1" customWidth="1"/>
    <col min="6" max="6" width="19.25" customWidth="1"/>
    <col min="7" max="7" width="15.125" bestFit="1" customWidth="1"/>
  </cols>
  <sheetData>
    <row r="1" spans="1:7" x14ac:dyDescent="0.2">
      <c r="A1" t="s">
        <v>46</v>
      </c>
      <c r="B1" t="s">
        <v>45</v>
      </c>
      <c r="C1" t="s">
        <v>44</v>
      </c>
      <c r="D1" t="s">
        <v>43</v>
      </c>
      <c r="E1" t="s">
        <v>42</v>
      </c>
      <c r="F1" t="s">
        <v>40</v>
      </c>
      <c r="G1" t="s">
        <v>47</v>
      </c>
    </row>
    <row r="2" spans="1:7" x14ac:dyDescent="0.2">
      <c r="A2">
        <v>1</v>
      </c>
      <c r="B2" s="1">
        <v>46267</v>
      </c>
      <c r="C2" t="s">
        <v>48</v>
      </c>
      <c r="D2" t="s">
        <v>37</v>
      </c>
      <c r="E2" t="s">
        <v>38</v>
      </c>
      <c r="F2" t="s">
        <v>41</v>
      </c>
      <c r="G2" t="s">
        <v>39</v>
      </c>
    </row>
    <row r="3" spans="1:7" x14ac:dyDescent="0.2">
      <c r="B3" s="1">
        <v>46269</v>
      </c>
      <c r="C3" s="6" t="s">
        <v>54</v>
      </c>
      <c r="D3" t="s">
        <v>56</v>
      </c>
      <c r="E3" t="s">
        <v>51</v>
      </c>
      <c r="F3" t="s">
        <v>49</v>
      </c>
      <c r="G3" t="s">
        <v>53</v>
      </c>
    </row>
    <row r="4" spans="1:7" x14ac:dyDescent="0.2">
      <c r="B4" s="1">
        <v>46274</v>
      </c>
      <c r="C4" t="s">
        <v>54</v>
      </c>
      <c r="D4" t="s">
        <v>55</v>
      </c>
      <c r="E4" t="s">
        <v>51</v>
      </c>
      <c r="F4" t="s">
        <v>50</v>
      </c>
      <c r="G4" t="s">
        <v>52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2025-2026</vt:lpstr>
      <vt:lpstr>work</vt:lpstr>
      <vt:lpstr>2026-2027-1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cn plaman</dc:creator>
  <cp:lastModifiedBy>cn plaman</cp:lastModifiedBy>
  <dcterms:created xsi:type="dcterms:W3CDTF">2026-03-06T12:43:56Z</dcterms:created>
  <dcterms:modified xsi:type="dcterms:W3CDTF">2026-09-09T02:12:19Z</dcterms:modified>
</cp:coreProperties>
</file>