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office\data\"/>
    </mc:Choice>
  </mc:AlternateContent>
  <xr:revisionPtr revIDLastSave="0" documentId="13_ncr:1_{BA2996BD-79B2-40D3-8C4A-D47CC9F220BD}" xr6:coauthVersionLast="47" xr6:coauthVersionMax="47" xr10:uidLastSave="{00000000-0000-0000-0000-000000000000}"/>
  <bookViews>
    <workbookView xWindow="-120" yWindow="-120" windowWidth="29040" windowHeight="15720" xr2:uid="{2E5A61E7-CF82-4D7E-B994-D412ADB0B79D}"/>
  </bookViews>
  <sheets>
    <sheet name="学生成绩" sheetId="1" r:id="rId1"/>
    <sheet name="销售记录" sheetId="3" r:id="rId2"/>
    <sheet name="工资表" sheetId="4" r:id="rId3"/>
  </sheets>
  <definedNames>
    <definedName name="_xlnm._FilterDatabase" localSheetId="0" hidden="1">学生成绩!$A$1:$K$16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<sst xmlns="http://schemas.openxmlformats.org/spreadsheetml/2006/main" count="141" uniqueCount="125">
  <si>
    <t>学号</t>
    <phoneticPr fontId="1" type="noConversion"/>
  </si>
  <si>
    <t>姓名</t>
    <phoneticPr fontId="1" type="noConversion"/>
  </si>
  <si>
    <t>年纪</t>
    <phoneticPr fontId="1" type="noConversion"/>
  </si>
  <si>
    <t>计算机基础</t>
    <phoneticPr fontId="1" type="noConversion"/>
  </si>
  <si>
    <t>大学英语</t>
    <phoneticPr fontId="1" type="noConversion"/>
  </si>
  <si>
    <t>平均分</t>
    <phoneticPr fontId="1" type="noConversion"/>
  </si>
  <si>
    <t>公共体育</t>
    <phoneticPr fontId="1" type="noConversion"/>
  </si>
  <si>
    <t>参加考试人数</t>
    <phoneticPr fontId="1" type="noConversion"/>
  </si>
  <si>
    <t>班级总人数</t>
    <phoneticPr fontId="1" type="noConversion"/>
  </si>
  <si>
    <t>总分</t>
    <phoneticPr fontId="1" type="noConversion"/>
  </si>
  <si>
    <t>五级评定</t>
    <phoneticPr fontId="1" type="noConversion"/>
  </si>
  <si>
    <t>两级评定</t>
    <phoneticPr fontId="1" type="noConversion"/>
  </si>
  <si>
    <t>平均成绩</t>
    <phoneticPr fontId="1" type="noConversion"/>
  </si>
  <si>
    <t>平均成绩最高分</t>
    <phoneticPr fontId="1" type="noConversion"/>
  </si>
  <si>
    <t>平均成绩最低分</t>
    <phoneticPr fontId="1" type="noConversion"/>
  </si>
  <si>
    <t>考勤率%</t>
    <phoneticPr fontId="1" type="noConversion"/>
  </si>
  <si>
    <t>及格率%</t>
    <phoneticPr fontId="1" type="noConversion"/>
  </si>
  <si>
    <t>不及格率%</t>
    <phoneticPr fontId="1" type="noConversion"/>
  </si>
  <si>
    <t>排名</t>
    <phoneticPr fontId="1" type="noConversion"/>
  </si>
  <si>
    <t>不及格</t>
    <phoneticPr fontId="1" type="noConversion"/>
  </si>
  <si>
    <t>及格</t>
    <phoneticPr fontId="1" type="noConversion"/>
  </si>
  <si>
    <t>中</t>
    <phoneticPr fontId="1" type="noConversion"/>
  </si>
  <si>
    <t>良好</t>
    <phoneticPr fontId="1" type="noConversion"/>
  </si>
  <si>
    <t>优秀</t>
    <phoneticPr fontId="1" type="noConversion"/>
  </si>
  <si>
    <t>区间</t>
    <phoneticPr fontId="1" type="noConversion"/>
  </si>
  <si>
    <t>评定</t>
    <phoneticPr fontId="1" type="noConversion"/>
  </si>
  <si>
    <t>人数</t>
    <phoneticPr fontId="1" type="noConversion"/>
  </si>
  <si>
    <t>边界值</t>
    <phoneticPr fontId="1" type="noConversion"/>
  </si>
  <si>
    <t>说明
1. 五级成绩评定：优、良、中、及格、不及格
2. 两级成绩评定：及格、不及格
3. 评语为不及格的单元格红色背景高亮显示
4. 前3名高亮显示
5. 百分比保留小数点后2位，其它数字为整数</t>
    <phoneticPr fontId="1" type="noConversion"/>
  </si>
  <si>
    <t>5/7/2021</t>
  </si>
  <si>
    <t>2/2/2021</t>
  </si>
  <si>
    <t>3/3/2021</t>
  </si>
  <si>
    <t>6/4/2021</t>
  </si>
  <si>
    <t>7/5/2021</t>
  </si>
  <si>
    <t>1/6/2021</t>
  </si>
  <si>
    <t>2/7/2021</t>
  </si>
  <si>
    <t>5/8/2021</t>
  </si>
  <si>
    <t>5/9/2021</t>
  </si>
  <si>
    <t>4/10/2021</t>
  </si>
  <si>
    <t>6/24/2021</t>
  </si>
  <si>
    <t>6/12/2021</t>
  </si>
  <si>
    <t>日期</t>
  </si>
  <si>
    <t>水果</t>
  </si>
  <si>
    <t>蔬菜</t>
  </si>
  <si>
    <t>菠萝</t>
  </si>
  <si>
    <t>奶酪</t>
  </si>
  <si>
    <t>牛奶</t>
  </si>
  <si>
    <t>芒果</t>
  </si>
  <si>
    <t>苹果</t>
  </si>
  <si>
    <t>茄子</t>
  </si>
  <si>
    <t>黄油</t>
  </si>
  <si>
    <t>花椰菜</t>
  </si>
  <si>
    <t>乳制品</t>
  </si>
  <si>
    <t>食品</t>
  </si>
  <si>
    <t>类别</t>
  </si>
  <si>
    <t>销售额</t>
  </si>
  <si>
    <t>白土豆</t>
  </si>
  <si>
    <t>葡萄</t>
  </si>
  <si>
    <t>橙子</t>
  </si>
  <si>
    <t>职工编号</t>
  </si>
  <si>
    <t>职工姓名</t>
    <phoneticPr fontId="2" type="noConversion"/>
  </si>
  <si>
    <t>职称</t>
    <phoneticPr fontId="2" type="noConversion"/>
  </si>
  <si>
    <t>基本工资</t>
  </si>
  <si>
    <t>岗位津贴</t>
    <phoneticPr fontId="2" type="noConversion"/>
  </si>
  <si>
    <t>水电费</t>
    <phoneticPr fontId="2" type="noConversion"/>
  </si>
  <si>
    <t>房租</t>
  </si>
  <si>
    <t>实际收入</t>
    <phoneticPr fontId="2" type="noConversion"/>
  </si>
  <si>
    <t>001</t>
  </si>
  <si>
    <t>张京平</t>
  </si>
  <si>
    <t>副教授</t>
    <phoneticPr fontId="2" type="noConversion"/>
  </si>
  <si>
    <t>002</t>
  </si>
  <si>
    <t>何立立</t>
  </si>
  <si>
    <t>讲师</t>
    <phoneticPr fontId="2" type="noConversion"/>
  </si>
  <si>
    <t>003</t>
  </si>
  <si>
    <t>方洪海</t>
  </si>
  <si>
    <t>004</t>
  </si>
  <si>
    <t>李宇红</t>
  </si>
  <si>
    <t>教授</t>
    <phoneticPr fontId="2" type="noConversion"/>
  </si>
  <si>
    <t>005</t>
  </si>
  <si>
    <t>田皎皎</t>
  </si>
  <si>
    <t>006</t>
  </si>
  <si>
    <t>田立萍</t>
  </si>
  <si>
    <t>007</t>
  </si>
  <si>
    <t>甘小间</t>
  </si>
  <si>
    <t>008</t>
  </si>
  <si>
    <t>戴江宁</t>
  </si>
  <si>
    <t>009</t>
  </si>
  <si>
    <t>李洪文</t>
    <phoneticPr fontId="2" type="noConversion"/>
  </si>
  <si>
    <t>教授</t>
  </si>
  <si>
    <t>010</t>
  </si>
  <si>
    <t>徐万万</t>
  </si>
  <si>
    <t>陈素梅</t>
  </si>
  <si>
    <t>程美娟</t>
  </si>
  <si>
    <t>李金威</t>
  </si>
  <si>
    <t>林艳芳</t>
  </si>
  <si>
    <t>黄健</t>
  </si>
  <si>
    <t>李健威</t>
  </si>
  <si>
    <t>黄欣欣</t>
  </si>
  <si>
    <t>黄艳芳</t>
  </si>
  <si>
    <t>黄怡</t>
  </si>
  <si>
    <t>梁敏红</t>
  </si>
  <si>
    <t>谢书林</t>
  </si>
  <si>
    <t>曾诚</t>
  </si>
  <si>
    <t>樊刚正</t>
  </si>
  <si>
    <t>李翠玲</t>
  </si>
  <si>
    <t>李健</t>
  </si>
  <si>
    <t>李霖明</t>
  </si>
  <si>
    <t>李敏颖</t>
  </si>
  <si>
    <t>03101001</t>
  </si>
  <si>
    <t>03101002</t>
  </si>
  <si>
    <t>03101003</t>
  </si>
  <si>
    <t>03101004</t>
  </si>
  <si>
    <t>03101005</t>
  </si>
  <si>
    <t>03101006</t>
  </si>
  <si>
    <t>03101007</t>
  </si>
  <si>
    <t>03101008</t>
  </si>
  <si>
    <t>03101009</t>
  </si>
  <si>
    <t>03101010</t>
  </si>
  <si>
    <t>03101011</t>
  </si>
  <si>
    <t>03101012</t>
  </si>
  <si>
    <t>03101013</t>
  </si>
  <si>
    <t>03101014</t>
  </si>
  <si>
    <t>03101015</t>
  </si>
  <si>
    <t>03101016</t>
  </si>
  <si>
    <t>03101017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</si>
</sst>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399F-CC12-4ABD-9F7C-F6EE52160CF4}">
  <dimension ref="A1:T31"/>
  <sheetViews>
    <sheetView tabSelected="1" workbookViewId="0">
      <selection activeCell="N23" sqref="N23"/>
    </sheetView>
  </sheetViews>
  <sheetFormatPr defaultRowHeight="14.25" x14ac:dyDescent="0.2"/>
  <cols>
    <col min="1" max="1" width="15.125" bestFit="1" customWidth="1"/>
    <col min="2" max="2" width="7.125" bestFit="1" customWidth="1"/>
    <col min="3" max="3" width="5.5" bestFit="1" customWidth="1"/>
    <col min="4" max="4" width="11" bestFit="1" customWidth="1"/>
    <col min="5" max="6" width="9" bestFit="1" customWidth="1"/>
    <col min="7" max="11" width="9" customWidth="1"/>
    <col min="15" max="15" width="5.5" bestFit="1" customWidth="1"/>
    <col min="16" max="16" width="7.5" bestFit="1" customWidth="1"/>
    <col min="19" max="19" width="7.5" bestFit="1" customWidth="1"/>
    <col min="20" max="20" width="5.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s="4" t="s">
        <v>9</v>
      </c>
      <c r="H1" t="s">
        <v>5</v>
      </c>
      <c r="I1" t="s">
        <v>11</v>
      </c>
      <c r="J1" t="s">
        <v>10</v>
      </c>
      <c r="K1" t="s">
        <v>18</v>
      </c>
    </row>
    <row r="2" spans="1:20" x14ac:dyDescent="0.2">
      <c r="A2" t="s">
        <v>108</v>
      </c>
      <c r="B2" t="s">
        <v>91</v>
      </c>
      <c r="C2">
        <v>18</v>
      </c>
      <c r="D2">
        <v>50</v>
      </c>
      <c r="E2">
        <v>50</v>
      </c>
      <c r="F2">
        <v>50</v>
      </c>
      <c r="H2" s="1"/>
      <c r="I2" s="1"/>
      <c r="J2" s="1"/>
    </row>
    <row r="3" spans="1:20" x14ac:dyDescent="0.2">
      <c r="A3" t="s">
        <v>109</v>
      </c>
      <c r="B3" t="s">
        <v>92</v>
      </c>
      <c r="C3">
        <v>19</v>
      </c>
      <c r="D3">
        <v>79</v>
      </c>
      <c r="E3">
        <v>68</v>
      </c>
      <c r="F3">
        <v>85</v>
      </c>
      <c r="H3" s="1"/>
      <c r="I3" s="1"/>
      <c r="J3" s="1"/>
      <c r="O3" t="s">
        <v>24</v>
      </c>
      <c r="P3" t="s">
        <v>25</v>
      </c>
      <c r="S3" t="s">
        <v>27</v>
      </c>
      <c r="T3" t="s">
        <v>26</v>
      </c>
    </row>
    <row r="4" spans="1:20" x14ac:dyDescent="0.2">
      <c r="A4" t="s">
        <v>110</v>
      </c>
      <c r="B4" t="s">
        <v>93</v>
      </c>
      <c r="C4">
        <v>18</v>
      </c>
      <c r="D4">
        <v>89</v>
      </c>
      <c r="E4">
        <v>78</v>
      </c>
      <c r="F4">
        <v>60</v>
      </c>
      <c r="H4" s="1"/>
      <c r="I4" s="1"/>
      <c r="J4" s="1"/>
      <c r="O4">
        <v>0</v>
      </c>
      <c r="P4" t="s">
        <v>19</v>
      </c>
      <c r="S4">
        <v>59</v>
      </c>
    </row>
    <row r="5" spans="1:20" x14ac:dyDescent="0.2">
      <c r="A5" t="s">
        <v>111</v>
      </c>
      <c r="B5" t="s">
        <v>94</v>
      </c>
      <c r="C5">
        <v>20</v>
      </c>
      <c r="D5">
        <v>88</v>
      </c>
      <c r="E5">
        <v>84</v>
      </c>
      <c r="F5">
        <v>90</v>
      </c>
      <c r="H5" s="1"/>
      <c r="I5" s="1"/>
      <c r="J5" s="1"/>
      <c r="O5">
        <v>60</v>
      </c>
      <c r="P5" t="s">
        <v>20</v>
      </c>
      <c r="S5">
        <v>69</v>
      </c>
    </row>
    <row r="6" spans="1:20" x14ac:dyDescent="0.2">
      <c r="A6" t="s">
        <v>112</v>
      </c>
      <c r="B6" t="s">
        <v>95</v>
      </c>
      <c r="C6">
        <v>17</v>
      </c>
      <c r="D6">
        <v>62</v>
      </c>
      <c r="E6">
        <v>68</v>
      </c>
      <c r="F6">
        <v>88</v>
      </c>
      <c r="H6" s="1"/>
      <c r="I6" s="1"/>
      <c r="J6" s="1"/>
      <c r="O6">
        <v>70</v>
      </c>
      <c r="P6" t="s">
        <v>21</v>
      </c>
      <c r="S6">
        <v>79</v>
      </c>
    </row>
    <row r="7" spans="1:20" x14ac:dyDescent="0.2">
      <c r="A7" t="s">
        <v>113</v>
      </c>
      <c r="B7" t="s">
        <v>96</v>
      </c>
      <c r="C7">
        <v>17</v>
      </c>
      <c r="D7">
        <v>74</v>
      </c>
      <c r="E7">
        <v>77</v>
      </c>
      <c r="F7">
        <v>100</v>
      </c>
      <c r="H7" s="1"/>
      <c r="I7" s="1"/>
      <c r="J7" s="1"/>
      <c r="O7">
        <v>80</v>
      </c>
      <c r="P7" t="s">
        <v>22</v>
      </c>
      <c r="S7">
        <v>89</v>
      </c>
    </row>
    <row r="8" spans="1:20" x14ac:dyDescent="0.2">
      <c r="A8" t="s">
        <v>114</v>
      </c>
      <c r="B8" t="s">
        <v>97</v>
      </c>
      <c r="C8">
        <v>18</v>
      </c>
      <c r="D8">
        <v>98</v>
      </c>
      <c r="E8">
        <v>71</v>
      </c>
      <c r="F8">
        <v>99</v>
      </c>
      <c r="H8" s="1"/>
      <c r="I8" s="1"/>
      <c r="J8" s="1"/>
      <c r="O8">
        <v>90</v>
      </c>
      <c r="P8" t="s">
        <v>23</v>
      </c>
    </row>
    <row r="9" spans="1:20" x14ac:dyDescent="0.2">
      <c r="A9" t="s">
        <v>115</v>
      </c>
      <c r="B9" t="s">
        <v>98</v>
      </c>
      <c r="C9">
        <v>17</v>
      </c>
      <c r="D9">
        <v>67</v>
      </c>
      <c r="E9">
        <v>93</v>
      </c>
      <c r="F9">
        <v>91</v>
      </c>
      <c r="H9" s="1"/>
      <c r="I9" s="1"/>
      <c r="J9" s="1"/>
    </row>
    <row r="10" spans="1:20" x14ac:dyDescent="0.2">
      <c r="A10" t="s">
        <v>116</v>
      </c>
      <c r="B10" t="s">
        <v>99</v>
      </c>
      <c r="C10">
        <v>17</v>
      </c>
      <c r="D10">
        <v>81</v>
      </c>
      <c r="E10">
        <v>72</v>
      </c>
      <c r="F10">
        <v>77</v>
      </c>
      <c r="H10" s="1"/>
      <c r="I10" s="1"/>
      <c r="J10" s="1"/>
    </row>
    <row r="11" spans="1:20" x14ac:dyDescent="0.2">
      <c r="A11" t="s">
        <v>117</v>
      </c>
      <c r="B11" t="s">
        <v>100</v>
      </c>
      <c r="C11">
        <v>18</v>
      </c>
      <c r="D11">
        <v>87</v>
      </c>
      <c r="E11">
        <v>76</v>
      </c>
      <c r="F11">
        <v>89</v>
      </c>
      <c r="I11" s="1"/>
      <c r="J11" s="1"/>
    </row>
    <row r="12" spans="1:20" x14ac:dyDescent="0.2">
      <c r="A12" t="s">
        <v>118</v>
      </c>
      <c r="B12" t="s">
        <v>101</v>
      </c>
      <c r="C12">
        <v>20</v>
      </c>
      <c r="D12">
        <v>78</v>
      </c>
      <c r="E12">
        <v>62</v>
      </c>
      <c r="F12">
        <v>81</v>
      </c>
      <c r="I12" s="1"/>
      <c r="J12" s="1"/>
    </row>
    <row r="13" spans="1:20" x14ac:dyDescent="0.2">
      <c r="A13" t="s">
        <v>119</v>
      </c>
      <c r="B13" t="s">
        <v>102</v>
      </c>
      <c r="C13">
        <v>17</v>
      </c>
      <c r="D13">
        <v>67</v>
      </c>
      <c r="E13">
        <v>95</v>
      </c>
      <c r="F13">
        <v>69</v>
      </c>
      <c r="I13" s="1"/>
      <c r="J13" s="1"/>
    </row>
    <row r="14" spans="1:20" x14ac:dyDescent="0.2">
      <c r="A14" t="s">
        <v>120</v>
      </c>
      <c r="B14" t="s">
        <v>103</v>
      </c>
      <c r="C14">
        <v>18</v>
      </c>
      <c r="D14">
        <v>98</v>
      </c>
      <c r="E14">
        <v>64</v>
      </c>
      <c r="F14">
        <v>91</v>
      </c>
      <c r="I14" s="1"/>
      <c r="J14" s="1"/>
    </row>
    <row r="15" spans="1:20" x14ac:dyDescent="0.2">
      <c r="A15" t="s">
        <v>121</v>
      </c>
      <c r="B15" t="s">
        <v>104</v>
      </c>
      <c r="C15">
        <v>17</v>
      </c>
      <c r="D15">
        <v>66</v>
      </c>
      <c r="E15">
        <v>69</v>
      </c>
      <c r="F15">
        <v>79</v>
      </c>
      <c r="I15" s="1"/>
      <c r="J15" s="1"/>
    </row>
    <row r="16" spans="1:20" x14ac:dyDescent="0.2">
      <c r="A16" t="s">
        <v>122</v>
      </c>
      <c r="B16" t="s">
        <v>105</v>
      </c>
      <c r="C16">
        <v>17</v>
      </c>
      <c r="D16">
        <v>78</v>
      </c>
      <c r="E16">
        <v>80</v>
      </c>
      <c r="F16">
        <v>90</v>
      </c>
      <c r="I16" s="1"/>
      <c r="J16" s="1"/>
    </row>
    <row r="17" spans="1:11" x14ac:dyDescent="0.2">
      <c r="A17" t="s">
        <v>123</v>
      </c>
      <c r="B17" t="s">
        <v>106</v>
      </c>
      <c r="C17">
        <v>19</v>
      </c>
      <c r="D17">
        <v>97</v>
      </c>
      <c r="E17">
        <v>94</v>
      </c>
      <c r="F17">
        <v>96</v>
      </c>
    </row>
    <row r="18" spans="1:11" x14ac:dyDescent="0.2">
      <c r="A18" t="s">
        <v>124</v>
      </c>
      <c r="B18" t="s">
        <v>107</v>
      </c>
      <c r="C18">
        <v>20</v>
      </c>
      <c r="D18">
        <v>96</v>
      </c>
      <c r="E18">
        <v>93</v>
      </c>
      <c r="F18">
        <v>98</v>
      </c>
    </row>
    <row r="21" spans="1:11" x14ac:dyDescent="0.2">
      <c r="A21" t="s">
        <v>8</v>
      </c>
      <c r="B21" s="2"/>
    </row>
    <row r="22" spans="1:11" x14ac:dyDescent="0.2">
      <c r="A22" t="s">
        <v>7</v>
      </c>
      <c r="B22" s="3"/>
    </row>
    <row r="23" spans="1:11" x14ac:dyDescent="0.2">
      <c r="A23" t="s">
        <v>15</v>
      </c>
      <c r="B23" s="3"/>
    </row>
    <row r="24" spans="1:11" x14ac:dyDescent="0.2">
      <c r="A24" t="s">
        <v>12</v>
      </c>
      <c r="B24" s="2"/>
    </row>
    <row r="25" spans="1:11" x14ac:dyDescent="0.2">
      <c r="A25" t="s">
        <v>16</v>
      </c>
      <c r="B25" s="3"/>
    </row>
    <row r="26" spans="1:11" x14ac:dyDescent="0.2">
      <c r="A26" t="s">
        <v>17</v>
      </c>
      <c r="B26" s="3"/>
    </row>
    <row r="27" spans="1:11" x14ac:dyDescent="0.2">
      <c r="A27" t="s">
        <v>13</v>
      </c>
      <c r="B27" s="3"/>
    </row>
    <row r="28" spans="1:11" x14ac:dyDescent="0.2">
      <c r="A28" t="s">
        <v>14</v>
      </c>
      <c r="B28" s="2"/>
    </row>
    <row r="31" spans="1:11" ht="93" customHeight="1" x14ac:dyDescent="0.2">
      <c r="A31" s="5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</row>
  </sheetData>
  <mergeCells count="1">
    <mergeCell ref="A31:K31"/>
  </mergeCells>
  <phoneticPr fontId="1" type="noConversion"/>
  <dataValidations count="1">
    <dataValidation type="list" allowBlank="1" showInputMessage="1" showErrorMessage="1" sqref="M13" xr:uid="{ADF40BCD-D270-4A95-AC3E-2CF75F47D009}">
      <formula1>$A$2:$A$16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4D9D-2C34-46F9-8998-D6D5D69FC8F7}">
  <dimension ref="A1:D13"/>
  <sheetViews>
    <sheetView workbookViewId="0">
      <selection activeCell="F1" sqref="F1"/>
    </sheetView>
  </sheetViews>
  <sheetFormatPr defaultRowHeight="14.25" x14ac:dyDescent="0.2"/>
  <cols>
    <col min="6" max="6" width="10" bestFit="1" customWidth="1"/>
    <col min="16" max="16" width="14.25" bestFit="1" customWidth="1"/>
  </cols>
  <sheetData>
    <row r="1" spans="1:4" x14ac:dyDescent="0.2">
      <c r="A1" t="s">
        <v>53</v>
      </c>
      <c r="B1" t="s">
        <v>54</v>
      </c>
      <c r="C1" t="s">
        <v>41</v>
      </c>
      <c r="D1" t="s">
        <v>55</v>
      </c>
    </row>
    <row r="2" spans="1:4" x14ac:dyDescent="0.2">
      <c r="A2" t="s">
        <v>48</v>
      </c>
      <c r="B2" t="s">
        <v>42</v>
      </c>
      <c r="C2" t="s">
        <v>29</v>
      </c>
      <c r="D2">
        <v>2500</v>
      </c>
    </row>
    <row r="3" spans="1:4" x14ac:dyDescent="0.2">
      <c r="A3" t="s">
        <v>49</v>
      </c>
      <c r="B3" t="s">
        <v>43</v>
      </c>
      <c r="C3" t="s">
        <v>30</v>
      </c>
      <c r="D3">
        <v>150</v>
      </c>
    </row>
    <row r="4" spans="1:4" x14ac:dyDescent="0.2">
      <c r="A4" t="s">
        <v>56</v>
      </c>
      <c r="B4" t="s">
        <v>43</v>
      </c>
      <c r="C4" t="s">
        <v>31</v>
      </c>
      <c r="D4">
        <v>3000</v>
      </c>
    </row>
    <row r="5" spans="1:4" x14ac:dyDescent="0.2">
      <c r="A5" t="s">
        <v>57</v>
      </c>
      <c r="B5" t="s">
        <v>42</v>
      </c>
      <c r="C5" t="s">
        <v>32</v>
      </c>
      <c r="D5">
        <v>4000</v>
      </c>
    </row>
    <row r="6" spans="1:4" x14ac:dyDescent="0.2">
      <c r="A6" t="s">
        <v>47</v>
      </c>
      <c r="B6" t="s">
        <v>42</v>
      </c>
      <c r="C6" t="s">
        <v>33</v>
      </c>
      <c r="D6">
        <v>2700</v>
      </c>
    </row>
    <row r="7" spans="1:4" x14ac:dyDescent="0.2">
      <c r="A7" t="s">
        <v>50</v>
      </c>
      <c r="B7" t="s">
        <v>52</v>
      </c>
      <c r="C7" t="s">
        <v>34</v>
      </c>
      <c r="D7">
        <v>600</v>
      </c>
    </row>
    <row r="8" spans="1:4" x14ac:dyDescent="0.2">
      <c r="A8" t="s">
        <v>46</v>
      </c>
      <c r="B8" t="s">
        <v>52</v>
      </c>
      <c r="C8" t="s">
        <v>35</v>
      </c>
      <c r="D8">
        <v>5000</v>
      </c>
    </row>
    <row r="9" spans="1:4" x14ac:dyDescent="0.2">
      <c r="A9" t="s">
        <v>45</v>
      </c>
      <c r="B9" t="s">
        <v>52</v>
      </c>
      <c r="C9" t="s">
        <v>36</v>
      </c>
      <c r="D9">
        <v>3500</v>
      </c>
    </row>
    <row r="10" spans="1:4" x14ac:dyDescent="0.2">
      <c r="A10" t="s">
        <v>58</v>
      </c>
      <c r="B10" t="s">
        <v>42</v>
      </c>
      <c r="C10" t="s">
        <v>37</v>
      </c>
      <c r="D10">
        <v>2600</v>
      </c>
    </row>
    <row r="11" spans="1:4" x14ac:dyDescent="0.2">
      <c r="A11" t="s">
        <v>44</v>
      </c>
      <c r="B11" t="s">
        <v>42</v>
      </c>
      <c r="C11" t="s">
        <v>38</v>
      </c>
      <c r="D11">
        <v>700</v>
      </c>
    </row>
    <row r="12" spans="1:4" x14ac:dyDescent="0.2">
      <c r="A12" t="s">
        <v>51</v>
      </c>
      <c r="B12" t="s">
        <v>43</v>
      </c>
      <c r="C12" t="s">
        <v>39</v>
      </c>
      <c r="D12">
        <v>1200</v>
      </c>
    </row>
    <row r="13" spans="1:4" x14ac:dyDescent="0.2">
      <c r="A13" t="s">
        <v>44</v>
      </c>
      <c r="B13" t="s">
        <v>42</v>
      </c>
      <c r="C13" t="s">
        <v>40</v>
      </c>
      <c r="D13">
        <v>2200</v>
      </c>
    </row>
  </sheetData>
  <sortState xmlns:xlrd2="http://schemas.microsoft.com/office/spreadsheetml/2017/richdata2" ref="A2:D14">
    <sortCondition ref="B2:B1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C260-99D9-44C3-B324-76C50FC519FC}">
  <dimension ref="A1:H11"/>
  <sheetViews>
    <sheetView workbookViewId="0">
      <selection activeCell="E19" sqref="E19"/>
    </sheetView>
  </sheetViews>
  <sheetFormatPr defaultRowHeight="14.25" x14ac:dyDescent="0.2"/>
  <sheetData>
    <row r="1" spans="1:8" x14ac:dyDescent="0.2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 spans="1:8" x14ac:dyDescent="0.2">
      <c r="A2" t="s">
        <v>67</v>
      </c>
      <c r="B2" t="s">
        <v>68</v>
      </c>
      <c r="C2" t="s">
        <v>69</v>
      </c>
      <c r="D2">
        <v>4700</v>
      </c>
      <c r="F2">
        <v>103</v>
      </c>
      <c r="G2">
        <v>800</v>
      </c>
      <c r="H2">
        <f>D2+E2-(F2+G2)</f>
        <v>3797</v>
      </c>
    </row>
    <row r="3" spans="1:8" x14ac:dyDescent="0.2">
      <c r="A3" t="s">
        <v>70</v>
      </c>
      <c r="B3" t="s">
        <v>71</v>
      </c>
      <c r="C3" t="s">
        <v>72</v>
      </c>
      <c r="D3">
        <v>3200</v>
      </c>
      <c r="F3">
        <v>205</v>
      </c>
      <c r="G3">
        <v>500</v>
      </c>
      <c r="H3">
        <f t="shared" ref="H3:H11" si="0">D3+E3-(F3+G3)</f>
        <v>2495</v>
      </c>
    </row>
    <row r="4" spans="1:8" x14ac:dyDescent="0.2">
      <c r="A4" t="s">
        <v>73</v>
      </c>
      <c r="B4" t="s">
        <v>74</v>
      </c>
      <c r="C4" t="s">
        <v>72</v>
      </c>
      <c r="D4">
        <v>3400</v>
      </c>
      <c r="F4">
        <v>162</v>
      </c>
      <c r="G4">
        <v>800</v>
      </c>
      <c r="H4">
        <f t="shared" si="0"/>
        <v>2438</v>
      </c>
    </row>
    <row r="5" spans="1:8" x14ac:dyDescent="0.2">
      <c r="A5" t="s">
        <v>75</v>
      </c>
      <c r="B5" t="s">
        <v>76</v>
      </c>
      <c r="C5" t="s">
        <v>77</v>
      </c>
      <c r="D5">
        <v>5000</v>
      </c>
      <c r="F5">
        <v>95.5</v>
      </c>
      <c r="G5">
        <v>1000</v>
      </c>
      <c r="H5">
        <f t="shared" si="0"/>
        <v>3904.5</v>
      </c>
    </row>
    <row r="6" spans="1:8" x14ac:dyDescent="0.2">
      <c r="A6" t="s">
        <v>78</v>
      </c>
      <c r="B6" t="s">
        <v>79</v>
      </c>
      <c r="C6" t="s">
        <v>69</v>
      </c>
      <c r="D6">
        <v>4500</v>
      </c>
      <c r="F6">
        <v>100.5</v>
      </c>
      <c r="G6">
        <v>1000</v>
      </c>
      <c r="H6">
        <f t="shared" si="0"/>
        <v>3399.5</v>
      </c>
    </row>
    <row r="7" spans="1:8" x14ac:dyDescent="0.2">
      <c r="A7" t="s">
        <v>80</v>
      </c>
      <c r="B7" t="s">
        <v>81</v>
      </c>
      <c r="C7" t="s">
        <v>72</v>
      </c>
      <c r="D7">
        <v>3800</v>
      </c>
      <c r="F7">
        <v>150.30000305175781</v>
      </c>
      <c r="G7">
        <v>800</v>
      </c>
      <c r="H7">
        <f t="shared" si="0"/>
        <v>2849.6999969482422</v>
      </c>
    </row>
    <row r="8" spans="1:8" x14ac:dyDescent="0.2">
      <c r="A8" t="s">
        <v>82</v>
      </c>
      <c r="B8" t="s">
        <v>83</v>
      </c>
      <c r="C8" t="s">
        <v>69</v>
      </c>
      <c r="D8">
        <v>4300</v>
      </c>
      <c r="F8">
        <v>110.5</v>
      </c>
      <c r="G8">
        <v>480</v>
      </c>
      <c r="H8">
        <f t="shared" si="0"/>
        <v>3709.5</v>
      </c>
    </row>
    <row r="9" spans="1:8" x14ac:dyDescent="0.2">
      <c r="A9" t="s">
        <v>84</v>
      </c>
      <c r="B9" t="s">
        <v>85</v>
      </c>
      <c r="C9" t="s">
        <v>69</v>
      </c>
      <c r="D9">
        <v>4500</v>
      </c>
      <c r="F9">
        <v>98.5</v>
      </c>
      <c r="G9">
        <v>900</v>
      </c>
      <c r="H9">
        <f t="shared" si="0"/>
        <v>3501.5</v>
      </c>
    </row>
    <row r="10" spans="1:8" x14ac:dyDescent="0.2">
      <c r="A10" t="s">
        <v>86</v>
      </c>
      <c r="B10" t="s">
        <v>87</v>
      </c>
      <c r="C10" t="s">
        <v>88</v>
      </c>
      <c r="D10">
        <v>5350</v>
      </c>
      <c r="F10">
        <v>154</v>
      </c>
      <c r="G10">
        <v>600</v>
      </c>
      <c r="H10">
        <f t="shared" si="0"/>
        <v>4596</v>
      </c>
    </row>
    <row r="11" spans="1:8" x14ac:dyDescent="0.2">
      <c r="A11" t="s">
        <v>89</v>
      </c>
      <c r="B11" t="s">
        <v>90</v>
      </c>
      <c r="C11" t="s">
        <v>72</v>
      </c>
      <c r="D11">
        <v>3700</v>
      </c>
      <c r="F11">
        <v>110.19999694824219</v>
      </c>
      <c r="G11">
        <v>800</v>
      </c>
      <c r="H11">
        <f t="shared" si="0"/>
        <v>2789.8000030517578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学生成绩</vt:lpstr>
      <vt:lpstr>销售记录</vt:lpstr>
      <vt:lpstr>工资表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军 冷</dc:creator>
  <cp:lastModifiedBy>cn plaman</cp:lastModifiedBy>
  <dcterms:created xsi:type="dcterms:W3CDTF">2023-10-16T02:17:41Z</dcterms:created>
  <dcterms:modified xsi:type="dcterms:W3CDTF">2026-05-02T13:17:29Z</dcterms:modified>
</cp:coreProperties>
</file>