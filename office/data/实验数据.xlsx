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6F8F94D9-FDB1-403A-98F0-2413BFB90A31}" xr6:coauthVersionLast="47" xr6:coauthVersionMax="47" xr10:uidLastSave="{00000000-0000-0000-0000-000000000000}"/>
  <bookViews>
    <workbookView xWindow="-120" yWindow="-120" windowWidth="29040" windowHeight="15720" activeTab="5" xr2:uid="{2E5A61E7-CF82-4D7E-B994-D412ADB0B79D}"/>
  </bookViews>
  <sheets>
    <sheet name="通信录" sheetId="6" r:id="rId1"/>
    <sheet name="学生成绩" sheetId="1" r:id="rId2"/>
    <sheet name="销售记录" sheetId="3" r:id="rId3"/>
    <sheet name="工资收入" sheetId="4" r:id="rId4"/>
    <sheet name="高考成绩" sheetId="5" r:id="rId5"/>
    <sheet name="迷你图" sheetId="7" r:id="rId6"/>
  </sheets>
  <definedNames>
    <definedName name="_xlnm._FilterDatabase" localSheetId="3" hidden="1">工资收入!$A$1:$L$11</definedName>
    <definedName name="_xlnm._FilterDatabase" localSheetId="1" hidden="1">学生成绩!$A$1:$K$16</definedName>
    <definedName name="_xlnm.Criteria" localSheetId="3">工资收入!$P$4:$Q$5</definedName>
    <definedName name="_xlnm.Extract" localSheetId="3">工资收入!$P$13:$AA$13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5" l="1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<sst xmlns="http://schemas.openxmlformats.org/spreadsheetml/2006/main" count="309" uniqueCount="221">
  <si>
    <t>学号</t>
    <phoneticPr fontId="1" type="noConversion"/>
  </si>
  <si>
    <t>姓名</t>
    <phoneticPr fontId="1" type="noConversion"/>
  </si>
  <si>
    <t>年纪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</si>
  <si>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</si>
  <si>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</si>
  <si>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</si>
  <si>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</si>
  <si>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</si>
  <si>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</si>
  <si>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</si>
  <si>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</si>
  <si>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5/7/2021</t>
  </si>
  <si>
    <t>2/2/2021</t>
  </si>
  <si>
    <t>3/3/2021</t>
  </si>
  <si>
    <t>6/4/2021</t>
  </si>
  <si>
    <t>7/5/2021</t>
  </si>
  <si>
    <t>1/6/2021</t>
  </si>
  <si>
    <t>2/7/2021</t>
  </si>
  <si>
    <t>5/8/2021</t>
  </si>
  <si>
    <t>5/9/2021</t>
  </si>
  <si>
    <t>4/10/2021</t>
  </si>
  <si>
    <t>6/24/2021</t>
  </si>
  <si>
    <t>6/12/2021</t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</si>
  <si>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</si>
  <si>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</si>
  <si>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</si>
  <si>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</si>
  <si>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</si>
  <si>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</si>
  <si>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</si>
  <si>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</si>
  <si>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</si>
  <si>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</si>
  <si>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</si>
  <si>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</si>
  <si>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</si>
  <si>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</si>
  <si>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</si>
  <si>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</si>
  <si>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</si>
  <si>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</si>
  <si>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</si>
  <si>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职工姓名</t>
    <phoneticPr fontId="2" type="noConversion"/>
  </si>
  <si>
    <t>职称</t>
    <phoneticPr fontId="2" type="noConversion"/>
  </si>
  <si>
    <t>基本工资</t>
  </si>
  <si>
    <t>岗位津贴</t>
    <phoneticPr fontId="2" type="noConversion"/>
  </si>
  <si>
    <t>水电费</t>
    <phoneticPr fontId="2" type="noConversion"/>
  </si>
  <si>
    <t>房租</t>
  </si>
  <si>
    <t>实际收入</t>
    <phoneticPr fontId="2" type="noConversion"/>
  </si>
  <si>
    <t>001</t>
  </si>
  <si>
    <t>张京平</t>
  </si>
  <si>
    <t>副教授</t>
    <phoneticPr fontId="2" type="noConversion"/>
  </si>
  <si>
    <t>002</t>
  </si>
  <si>
    <t>何立立</t>
  </si>
  <si>
    <t>讲师</t>
    <phoneticPr fontId="2" type="noConversion"/>
  </si>
  <si>
    <t>003</t>
  </si>
  <si>
    <t>方洪海</t>
  </si>
  <si>
    <t>004</t>
  </si>
  <si>
    <t>李宇红</t>
  </si>
  <si>
    <t>教授</t>
    <phoneticPr fontId="2" type="noConversion"/>
  </si>
  <si>
    <t>005</t>
  </si>
  <si>
    <t>田皎皎</t>
  </si>
  <si>
    <t>006</t>
  </si>
  <si>
    <t>田立萍</t>
  </si>
  <si>
    <t>007</t>
  </si>
  <si>
    <t>甘小间</t>
  </si>
  <si>
    <t>008</t>
  </si>
  <si>
    <t>戴江宁</t>
  </si>
  <si>
    <t>009</t>
  </si>
  <si>
    <t>李洪文</t>
    <phoneticPr fontId="2" type="noConversion"/>
  </si>
  <si>
    <t>教授</t>
  </si>
  <si>
    <t>010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</si>
  <si>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</si>
  <si>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</si>
  <si>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</si>
  <si>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</si>
  <si>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</si>
  <si>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</si>
  <si>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</si>
  <si>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</si>
  <si>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</si>
  <si>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</si>
  <si>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</si>
  <si>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</si>
  <si>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</si>
  <si>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</si>
  <si>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</si>
  <si>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</si>
  <si>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</si>
  <si>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</si>
  <si>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</si>
  <si>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</si>
  <si>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</si>
  <si>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</si>
  <si>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</si>
  <si>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</si>
  <si>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</si>
  <si>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</si>
  <si>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</si>
  <si>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</si>
  <si>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</si>
  <si>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</si>
  <si>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</si>
  <si>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</si>
  <si>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</si>
  <si>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</si>
  <si>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</si>
  <si>
    <t>考号</t>
    <phoneticPr fontId="1" type="noConversion"/>
  </si>
  <si>
    <t>姓名</t>
  </si>
  <si>
    <t>语文</t>
    <phoneticPr fontId="1" type="noConversion"/>
  </si>
  <si>
    <t>数学</t>
    <phoneticPr fontId="1" type="noConversion"/>
  </si>
  <si>
    <t>英语</t>
    <phoneticPr fontId="1" type="noConversion"/>
  </si>
  <si>
    <t>高考总分</t>
  </si>
  <si>
    <t>性别</t>
  </si>
  <si>
    <t>学历</t>
  </si>
  <si>
    <t>出生日期</t>
  </si>
  <si>
    <t>部门</t>
  </si>
  <si>
    <t>男</t>
  </si>
  <si>
    <t>博士</t>
  </si>
  <si>
    <t>计算机科学系</t>
  </si>
  <si>
    <t>硕士</t>
  </si>
  <si>
    <t>学士</t>
  </si>
  <si>
    <t>女</t>
  </si>
  <si>
    <t>电子系</t>
  </si>
  <si>
    <t>菠萝销售额</t>
    <phoneticPr fontId="1" type="noConversion"/>
  </si>
  <si>
    <t>水果销售额</t>
    <phoneticPr fontId="1" type="noConversion"/>
  </si>
  <si>
    <t>蔬菜销售额</t>
    <phoneticPr fontId="1" type="noConversion"/>
  </si>
  <si>
    <t>乳制品销售额</t>
    <phoneticPr fontId="1" type="noConversion"/>
  </si>
  <si>
    <t>教授</t>
    <phoneticPr fontId="1" type="noConversion"/>
  </si>
  <si>
    <t>职称</t>
    <phoneticPr fontId="1" type="noConversion"/>
  </si>
  <si>
    <t>实际收入</t>
    <phoneticPr fontId="1" type="noConversion"/>
  </si>
  <si>
    <t>&lt;8000</t>
    <phoneticPr fontId="1" type="noConversion"/>
  </si>
  <si>
    <t>总人数</t>
    <phoneticPr fontId="1" type="noConversion"/>
  </si>
  <si>
    <t>平均成绩</t>
    <phoneticPr fontId="1" type="noConversion"/>
  </si>
  <si>
    <t>及格率%</t>
    <phoneticPr fontId="1" type="noConversion"/>
  </si>
  <si>
    <t>不及格率%</t>
    <phoneticPr fontId="1" type="noConversion"/>
  </si>
  <si>
    <t>最高分</t>
    <phoneticPr fontId="1" type="noConversion"/>
  </si>
  <si>
    <t>最低分</t>
    <phoneticPr fontId="1" type="noConversion"/>
  </si>
  <si>
    <t>单位</t>
    <phoneticPr fontId="1" type="noConversion"/>
  </si>
  <si>
    <t>职务</t>
    <phoneticPr fontId="1" type="noConversion"/>
  </si>
  <si>
    <t>性别</t>
    <phoneticPr fontId="1" type="noConversion"/>
  </si>
  <si>
    <t>联系电话</t>
    <phoneticPr fontId="1" type="noConversion"/>
  </si>
  <si>
    <t>美的全球创新中心研发部</t>
    <phoneticPr fontId="1" type="noConversion"/>
  </si>
  <si>
    <t>男</t>
    <phoneticPr fontId="1" type="noConversion"/>
  </si>
  <si>
    <t>华帝公司人力资源部</t>
    <phoneticPr fontId="1" type="noConversion"/>
  </si>
  <si>
    <t>格力公司创新研究部</t>
    <phoneticPr fontId="1" type="noConversion"/>
  </si>
  <si>
    <t>女</t>
    <phoneticPr fontId="1" type="noConversion"/>
  </si>
  <si>
    <t>海尔公司策划部</t>
    <phoneticPr fontId="1" type="noConversion"/>
  </si>
  <si>
    <t>序号</t>
    <phoneticPr fontId="1" type="noConversion"/>
  </si>
  <si>
    <t>部门</t>
    <phoneticPr fontId="1" type="noConversion"/>
  </si>
  <si>
    <t>信用</t>
    <phoneticPr fontId="1" type="noConversion"/>
  </si>
  <si>
    <t>邮箱</t>
    <phoneticPr fontId="1" type="noConversion"/>
  </si>
  <si>
    <t>地址</t>
    <phoneticPr fontId="1" type="noConversion"/>
  </si>
  <si>
    <t>生日</t>
    <phoneticPr fontId="1" type="noConversion"/>
  </si>
  <si>
    <t>头像</t>
    <phoneticPr fontId="1" type="noConversion"/>
  </si>
  <si>
    <t>张良</t>
    <phoneticPr fontId="1" type="noConversion"/>
  </si>
  <si>
    <t>教务</t>
    <phoneticPr fontId="1" type="noConversion"/>
  </si>
  <si>
    <t>gl@gmail.com</t>
    <phoneticPr fontId="1" type="noConversion"/>
  </si>
  <si>
    <t>桂林七星</t>
    <phoneticPr fontId="1" type="noConversion"/>
  </si>
  <si>
    <t>ecel.png</t>
    <phoneticPr fontId="1" type="noConversion"/>
  </si>
  <si>
    <t>孟超</t>
    <phoneticPr fontId="1" type="noConversion"/>
  </si>
  <si>
    <t>人事</t>
    <phoneticPr fontId="1" type="noConversion"/>
  </si>
  <si>
    <t>boy@hotmail.com</t>
    <phoneticPr fontId="1" type="noConversion"/>
  </si>
  <si>
    <t>广州天河</t>
    <phoneticPr fontId="1" type="noConversion"/>
  </si>
  <si>
    <t>gif.png</t>
    <phoneticPr fontId="1" type="noConversion"/>
  </si>
  <si>
    <t>胡军</t>
    <phoneticPr fontId="1" type="noConversion"/>
  </si>
  <si>
    <t>后勤</t>
    <phoneticPr fontId="1" type="noConversion"/>
  </si>
  <si>
    <t>cq126.com</t>
    <phoneticPr fontId="1" type="noConversion"/>
  </si>
  <si>
    <t>上海闵行</t>
    <phoneticPr fontId="1" type="noConversion"/>
  </si>
  <si>
    <t>jpg.png</t>
    <phoneticPr fontId="1" type="noConversion"/>
  </si>
  <si>
    <t>立冬名</t>
    <phoneticPr fontId="1" type="noConversion"/>
  </si>
  <si>
    <t>信工</t>
    <phoneticPr fontId="1" type="noConversion"/>
  </si>
  <si>
    <t>gz@163.com</t>
    <phoneticPr fontId="1" type="noConversion"/>
  </si>
  <si>
    <t>重庆沙坪坝</t>
    <phoneticPr fontId="1" type="noConversion"/>
  </si>
  <si>
    <t>pdf.png</t>
    <phoneticPr fontId="1" type="noConversion"/>
  </si>
  <si>
    <t>姚为明</t>
    <phoneticPr fontId="1" type="noConversion"/>
  </si>
  <si>
    <t>传媒</t>
    <phoneticPr fontId="1" type="noConversion"/>
  </si>
  <si>
    <t>sh@sjtu.edu.cn</t>
    <phoneticPr fontId="1" type="noConversion"/>
  </si>
  <si>
    <t>南京标营</t>
    <phoneticPr fontId="1" type="noConversion"/>
  </si>
  <si>
    <t>png.png</t>
    <phoneticPr fontId="1" type="noConversion"/>
  </si>
  <si>
    <t>宋飞</t>
    <phoneticPr fontId="1" type="noConversion"/>
  </si>
  <si>
    <t>经贸</t>
    <phoneticPr fontId="1" type="noConversion"/>
  </si>
  <si>
    <t>海口美兰</t>
    <phoneticPr fontId="1" type="noConversion"/>
  </si>
  <si>
    <t>ppt.png</t>
    <phoneticPr fontId="1" type="noConversion"/>
  </si>
  <si>
    <t>何可</t>
    <phoneticPr fontId="1" type="noConversion"/>
  </si>
  <si>
    <t>美术</t>
    <phoneticPr fontId="1" type="noConversion"/>
  </si>
  <si>
    <t>东莞麻涌镇</t>
    <phoneticPr fontId="1" type="noConversion"/>
  </si>
  <si>
    <t>tet.png</t>
    <phoneticPr fontId="1" type="noConversion"/>
  </si>
  <si>
    <t>邓青迪</t>
    <phoneticPr fontId="1" type="noConversion"/>
  </si>
  <si>
    <t>体育</t>
    <phoneticPr fontId="1" type="noConversion"/>
  </si>
  <si>
    <t>5419@qq.com</t>
    <phoneticPr fontId="1" type="noConversion"/>
  </si>
  <si>
    <t>厦门集美</t>
    <phoneticPr fontId="1" type="noConversion"/>
  </si>
  <si>
    <t>word.png</t>
    <phoneticPr fontId="1" type="noConversion"/>
  </si>
  <si>
    <t>廖远风</t>
    <phoneticPr fontId="1" type="noConversion"/>
  </si>
  <si>
    <t>董事会</t>
    <phoneticPr fontId="1" type="noConversion"/>
  </si>
  <si>
    <t>深圳罗湖</t>
    <phoneticPr fontId="1" type="noConversion"/>
  </si>
  <si>
    <t>zip.png</t>
    <phoneticPr fontId="1" type="noConversion"/>
  </si>
  <si>
    <t>刘坤</t>
    <phoneticPr fontId="1" type="noConversion"/>
  </si>
  <si>
    <t>csv.png</t>
    <phoneticPr fontId="1" type="noConversion"/>
  </si>
  <si>
    <t>科员</t>
    <phoneticPr fontId="1" type="noConversion"/>
  </si>
  <si>
    <t>实习生</t>
    <phoneticPr fontId="1" type="noConversion"/>
  </si>
  <si>
    <t>播音</t>
    <phoneticPr fontId="1" type="noConversion"/>
  </si>
  <si>
    <t>河南安阳</t>
    <phoneticPr fontId="1" type="noConversion"/>
  </si>
  <si>
    <t>主任</t>
    <phoneticPr fontId="1" type="noConversion"/>
  </si>
  <si>
    <t>副主任</t>
    <phoneticPr fontId="1" type="noConversion"/>
  </si>
  <si>
    <t>筛选实际收入小于8000的教授，结果放在B15</t>
    <phoneticPr fontId="1" type="noConversion"/>
  </si>
  <si>
    <t>1.先根据总分降序排序，再根据语文降序排序</t>
    <phoneticPr fontId="1" type="noConversion"/>
  </si>
  <si>
    <t>2.使用透视表统计语文成绩的分布，结果放在新工作表中，命名为语文成绩分布</t>
    <phoneticPr fontId="1" type="noConversion"/>
  </si>
  <si>
    <t>公司</t>
    <phoneticPr fontId="1" type="noConversion"/>
  </si>
  <si>
    <t>上海</t>
    <phoneticPr fontId="1" type="noConversion"/>
  </si>
  <si>
    <t>广州</t>
    <phoneticPr fontId="1" type="noConversion"/>
  </si>
  <si>
    <t>重庆</t>
    <phoneticPr fontId="1" type="noConversion"/>
  </si>
  <si>
    <t>深圳</t>
    <phoneticPr fontId="1" type="noConversion"/>
  </si>
  <si>
    <t>1.创建数据</t>
    <phoneticPr fontId="1" type="noConversion"/>
  </si>
  <si>
    <t>2.生成柱形图</t>
    <phoneticPr fontId="1" type="noConversion"/>
  </si>
  <si>
    <t>3.生成迷你图</t>
    <phoneticPr fontId="1" type="noConversion"/>
  </si>
  <si>
    <t>5. 百分比保留小数点后2位，其它数字为整数</t>
  </si>
  <si>
    <t>4. 前3名高亮显示</t>
  </si>
  <si>
    <t>3. 评语为不及格的单元格红色背景高亮显示</t>
    <phoneticPr fontId="1" type="noConversion"/>
  </si>
  <si>
    <t>1. 两级成绩评定：及格、不及格</t>
    <phoneticPr fontId="1" type="noConversion"/>
  </si>
  <si>
    <t>2. 五级成绩评定：优、良、中、及格、不及格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</si>
</sst>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0" borderId="0" xfId="1">
      <alignment vertical="center"/>
    </xf>
    <xf numFmtId="14" fontId="0" fillId="0" borderId="0" xfId="0" applyNumberFormat="1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419@qq.com" TargetMode="External"/><Relationship Id="rId2" Type="http://schemas.openxmlformats.org/officeDocument/2006/relationships/hyperlink" Target="mailto:boy@hotmail.com" TargetMode="External"/><Relationship Id="rId1" Type="http://schemas.openxmlformats.org/officeDocument/2006/relationships/hyperlink" Target="mailto:gl@gmail.com" TargetMode="External"/><Relationship Id="rId6" Type="http://schemas.openxmlformats.org/officeDocument/2006/relationships/hyperlink" Target="mailto:sh@sjtu.edu.cn" TargetMode="External"/><Relationship Id="rId5" Type="http://schemas.openxmlformats.org/officeDocument/2006/relationships/hyperlink" Target="mailto:gz@163.com" TargetMode="External"/><Relationship Id="rId4" Type="http://schemas.openxmlformats.org/officeDocument/2006/relationships/hyperlink" Target="mailto:sh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64B-37CF-4588-BABA-D287C3F68938}">
  <dimension ref="A1:L11"/>
  <sheetViews>
    <sheetView workbookViewId="0">
      <selection activeCell="C10" sqref="C10"/>
    </sheetView>
  </sheetViews>
  <sheetFormatPr defaultRowHeight="14.25" x14ac:dyDescent="0.2"/>
  <cols>
    <col min="1" max="1" width="5.25" bestFit="1" customWidth="1"/>
    <col min="2" max="2" width="7.125" bestFit="1" customWidth="1"/>
    <col min="3" max="3" width="5.25" bestFit="1" customWidth="1"/>
    <col min="4" max="4" width="10" bestFit="1" customWidth="1"/>
    <col min="5" max="5" width="17.25" bestFit="1" customWidth="1"/>
    <col min="7" max="7" width="7.125" bestFit="1" customWidth="1"/>
    <col min="8" max="8" width="23.5" bestFit="1" customWidth="1"/>
    <col min="9" max="9" width="5.25" bestFit="1" customWidth="1"/>
    <col min="11" max="11" width="11" bestFit="1" customWidth="1"/>
    <col min="12" max="12" width="9.375" bestFit="1" customWidth="1"/>
  </cols>
  <sheetData>
    <row r="1" spans="1:12" x14ac:dyDescent="0.2">
      <c r="A1" t="s">
        <v>148</v>
      </c>
      <c r="B1" t="s">
        <v>1</v>
      </c>
      <c r="C1" t="s">
        <v>140</v>
      </c>
      <c r="D1" t="s">
        <v>153</v>
      </c>
      <c r="E1" t="s">
        <v>151</v>
      </c>
      <c r="F1" t="s">
        <v>139</v>
      </c>
      <c r="G1" t="s">
        <v>149</v>
      </c>
      <c r="H1" t="s">
        <v>138</v>
      </c>
      <c r="I1" t="s">
        <v>150</v>
      </c>
      <c r="J1" t="s">
        <v>141</v>
      </c>
      <c r="K1" t="s">
        <v>152</v>
      </c>
      <c r="L1" t="s">
        <v>154</v>
      </c>
    </row>
    <row r="2" spans="1:12" x14ac:dyDescent="0.2">
      <c r="A2">
        <v>1</v>
      </c>
      <c r="B2" t="s">
        <v>155</v>
      </c>
      <c r="C2" t="s">
        <v>143</v>
      </c>
      <c r="D2" s="2">
        <v>31048</v>
      </c>
      <c r="E2" s="1" t="s">
        <v>157</v>
      </c>
      <c r="F2" t="s">
        <v>203</v>
      </c>
      <c r="G2" t="s">
        <v>156</v>
      </c>
      <c r="H2" t="s">
        <v>142</v>
      </c>
      <c r="I2">
        <v>65</v>
      </c>
      <c r="K2" t="s">
        <v>158</v>
      </c>
      <c r="L2" t="s">
        <v>159</v>
      </c>
    </row>
    <row r="3" spans="1:12" x14ac:dyDescent="0.2">
      <c r="A3">
        <v>2</v>
      </c>
      <c r="B3" t="s">
        <v>160</v>
      </c>
      <c r="C3" t="s">
        <v>143</v>
      </c>
      <c r="D3" s="2">
        <v>29254</v>
      </c>
      <c r="E3" s="1" t="s">
        <v>162</v>
      </c>
      <c r="F3" t="s">
        <v>203</v>
      </c>
      <c r="G3" t="s">
        <v>161</v>
      </c>
      <c r="H3" t="s">
        <v>144</v>
      </c>
      <c r="I3">
        <v>60</v>
      </c>
      <c r="K3" t="s">
        <v>202</v>
      </c>
      <c r="L3" t="s">
        <v>164</v>
      </c>
    </row>
    <row r="4" spans="1:12" x14ac:dyDescent="0.2">
      <c r="A4">
        <v>3</v>
      </c>
      <c r="B4" t="s">
        <v>165</v>
      </c>
      <c r="C4" t="s">
        <v>143</v>
      </c>
      <c r="D4" s="2">
        <v>32183</v>
      </c>
      <c r="E4" s="1" t="s">
        <v>167</v>
      </c>
      <c r="F4" t="s">
        <v>204</v>
      </c>
      <c r="G4" t="s">
        <v>166</v>
      </c>
      <c r="H4" t="s">
        <v>145</v>
      </c>
      <c r="I4">
        <v>55</v>
      </c>
      <c r="K4" t="s">
        <v>168</v>
      </c>
      <c r="L4" t="s">
        <v>169</v>
      </c>
    </row>
    <row r="5" spans="1:12" x14ac:dyDescent="0.2">
      <c r="A5">
        <v>4</v>
      </c>
      <c r="B5" t="s">
        <v>170</v>
      </c>
      <c r="C5" t="s">
        <v>143</v>
      </c>
      <c r="D5" s="2">
        <v>33107</v>
      </c>
      <c r="E5" s="1" t="s">
        <v>172</v>
      </c>
      <c r="F5" t="s">
        <v>203</v>
      </c>
      <c r="G5" t="s">
        <v>171</v>
      </c>
      <c r="H5" t="s">
        <v>147</v>
      </c>
      <c r="I5">
        <v>90</v>
      </c>
      <c r="K5" t="s">
        <v>173</v>
      </c>
      <c r="L5" t="s">
        <v>174</v>
      </c>
    </row>
    <row r="6" spans="1:12" x14ac:dyDescent="0.2">
      <c r="A6">
        <v>5</v>
      </c>
      <c r="B6" t="s">
        <v>175</v>
      </c>
      <c r="C6" t="s">
        <v>143</v>
      </c>
      <c r="D6" s="2">
        <v>33859</v>
      </c>
      <c r="E6" s="1" t="s">
        <v>177</v>
      </c>
      <c r="F6" t="s">
        <v>199</v>
      </c>
      <c r="G6" t="s">
        <v>176</v>
      </c>
      <c r="I6">
        <v>76</v>
      </c>
      <c r="K6" t="s">
        <v>178</v>
      </c>
      <c r="L6" t="s">
        <v>179</v>
      </c>
    </row>
    <row r="7" spans="1:12" x14ac:dyDescent="0.2">
      <c r="A7">
        <v>6</v>
      </c>
      <c r="B7" t="s">
        <v>180</v>
      </c>
      <c r="C7" t="s">
        <v>146</v>
      </c>
      <c r="D7" s="2">
        <v>32051</v>
      </c>
      <c r="E7" s="1"/>
      <c r="F7" t="s">
        <v>204</v>
      </c>
      <c r="G7" t="s">
        <v>181</v>
      </c>
      <c r="I7">
        <v>70</v>
      </c>
      <c r="K7" t="s">
        <v>182</v>
      </c>
      <c r="L7" t="s">
        <v>183</v>
      </c>
    </row>
    <row r="8" spans="1:12" x14ac:dyDescent="0.2">
      <c r="A8">
        <v>7</v>
      </c>
      <c r="B8" t="s">
        <v>184</v>
      </c>
      <c r="C8" t="s">
        <v>146</v>
      </c>
      <c r="D8" s="2">
        <v>34823</v>
      </c>
      <c r="F8" t="s">
        <v>199</v>
      </c>
      <c r="G8" t="s">
        <v>185</v>
      </c>
      <c r="I8">
        <v>74</v>
      </c>
      <c r="K8" t="s">
        <v>186</v>
      </c>
      <c r="L8" t="s">
        <v>187</v>
      </c>
    </row>
    <row r="9" spans="1:12" x14ac:dyDescent="0.2">
      <c r="A9">
        <v>8</v>
      </c>
      <c r="B9" t="s">
        <v>188</v>
      </c>
      <c r="C9" t="s">
        <v>146</v>
      </c>
      <c r="D9" s="2">
        <v>34121</v>
      </c>
      <c r="E9" s="1" t="s">
        <v>190</v>
      </c>
      <c r="F9" t="s">
        <v>200</v>
      </c>
      <c r="G9" t="s">
        <v>189</v>
      </c>
      <c r="I9">
        <v>85</v>
      </c>
      <c r="K9" t="s">
        <v>191</v>
      </c>
      <c r="L9" t="s">
        <v>192</v>
      </c>
    </row>
    <row r="10" spans="1:12" x14ac:dyDescent="0.2">
      <c r="A10">
        <v>9</v>
      </c>
      <c r="B10" t="s">
        <v>193</v>
      </c>
      <c r="C10" t="s">
        <v>146</v>
      </c>
      <c r="D10" s="2">
        <v>35278</v>
      </c>
      <c r="F10" t="s">
        <v>199</v>
      </c>
      <c r="G10" t="s">
        <v>194</v>
      </c>
      <c r="I10">
        <v>60</v>
      </c>
      <c r="K10" t="s">
        <v>195</v>
      </c>
      <c r="L10" t="s">
        <v>196</v>
      </c>
    </row>
    <row r="11" spans="1:12" x14ac:dyDescent="0.2">
      <c r="A11">
        <v>10</v>
      </c>
      <c r="B11" t="s">
        <v>197</v>
      </c>
      <c r="C11" t="s">
        <v>143</v>
      </c>
      <c r="D11" s="2">
        <v>34881</v>
      </c>
      <c r="F11" t="s">
        <v>200</v>
      </c>
      <c r="G11" t="s">
        <v>201</v>
      </c>
      <c r="I11">
        <v>100</v>
      </c>
      <c r="K11" t="s">
        <v>163</v>
      </c>
      <c r="L11" t="s">
        <v>198</v>
      </c>
    </row>
  </sheetData>
  <phoneticPr fontId="1" type="noConversion"/>
  <hyperlinks>
    <hyperlink ref="E2" r:id="rId1" xr:uid="{4D006D4C-E7AC-465D-88CE-6419D3A31F26}"/>
    <hyperlink ref="E3" r:id="rId2" xr:uid="{FCBD556A-1012-4C88-9664-21AB09EFD3C1}"/>
    <hyperlink ref="E9" r:id="rId3" xr:uid="{E6C1FAE3-E513-4C7D-B872-C404DBEB762B}"/>
    <hyperlink ref="E4" r:id="rId4" display="sh@126.com" xr:uid="{AF108134-1839-43F5-B713-FCB8E3BF252A}"/>
    <hyperlink ref="E5" r:id="rId5" xr:uid="{98FC116D-482D-4D74-AE4C-823AA91DB6A4}"/>
    <hyperlink ref="E6" r:id="rId6" xr:uid="{06C1355B-EBF0-4459-88AF-BAA2AEB2F8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K33"/>
  <sheetViews>
    <sheetView zoomScaleNormal="100" workbookViewId="0">
      <selection activeCell="F24" sqref="F24"/>
    </sheetView>
  </sheetViews>
  <sheetFormatPr defaultRowHeight="14.25" x14ac:dyDescent="0.2"/>
  <cols>
    <col min="1" max="1" width="9.5" bestFit="1" customWidth="1"/>
    <col min="2" max="2" width="10.5" bestFit="1" customWidth="1"/>
    <col min="3" max="11" width="10.625" customWidth="1"/>
    <col min="15" max="15" width="7.5" bestFit="1" customWidth="1"/>
    <col min="18" max="18" width="7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5</v>
      </c>
      <c r="I1" t="s">
        <v>9</v>
      </c>
      <c r="J1" t="s">
        <v>8</v>
      </c>
      <c r="K1" t="s">
        <v>10</v>
      </c>
    </row>
    <row r="2" spans="1:11" x14ac:dyDescent="0.2">
      <c r="A2" t="s">
        <v>90</v>
      </c>
      <c r="B2" t="s">
        <v>73</v>
      </c>
      <c r="C2">
        <v>18</v>
      </c>
      <c r="D2">
        <v>50</v>
      </c>
      <c r="E2">
        <v>50</v>
      </c>
      <c r="F2">
        <v>50</v>
      </c>
    </row>
    <row r="3" spans="1:11" x14ac:dyDescent="0.2">
      <c r="A3" t="s">
        <v>91</v>
      </c>
      <c r="B3" t="s">
        <v>74</v>
      </c>
      <c r="C3">
        <v>19</v>
      </c>
      <c r="D3">
        <v>79</v>
      </c>
      <c r="E3">
        <v>68</v>
      </c>
      <c r="F3">
        <v>85</v>
      </c>
    </row>
    <row r="4" spans="1:11" x14ac:dyDescent="0.2">
      <c r="A4" t="s">
        <v>92</v>
      </c>
      <c r="B4" t="s">
        <v>75</v>
      </c>
      <c r="C4">
        <v>18</v>
      </c>
      <c r="D4">
        <v>89</v>
      </c>
      <c r="E4">
        <v>78</v>
      </c>
      <c r="F4">
        <v>60</v>
      </c>
    </row>
    <row r="5" spans="1:11" x14ac:dyDescent="0.2">
      <c r="A5" t="s">
        <v>93</v>
      </c>
      <c r="B5" t="s">
        <v>76</v>
      </c>
      <c r="C5">
        <v>20</v>
      </c>
      <c r="D5">
        <v>88</v>
      </c>
      <c r="E5">
        <v>84</v>
      </c>
      <c r="F5">
        <v>90</v>
      </c>
    </row>
    <row r="6" spans="1:11" x14ac:dyDescent="0.2">
      <c r="A6" t="s">
        <v>94</v>
      </c>
      <c r="B6" t="s">
        <v>77</v>
      </c>
      <c r="C6">
        <v>17</v>
      </c>
      <c r="D6">
        <v>62</v>
      </c>
      <c r="E6">
        <v>68</v>
      </c>
      <c r="F6">
        <v>88</v>
      </c>
    </row>
    <row r="7" spans="1:11" x14ac:dyDescent="0.2">
      <c r="A7" t="s">
        <v>95</v>
      </c>
      <c r="B7" t="s">
        <v>78</v>
      </c>
      <c r="C7">
        <v>17</v>
      </c>
      <c r="D7">
        <v>74</v>
      </c>
      <c r="E7">
        <v>77</v>
      </c>
      <c r="F7">
        <v>100</v>
      </c>
    </row>
    <row r="8" spans="1:11" x14ac:dyDescent="0.2">
      <c r="A8" t="s">
        <v>96</v>
      </c>
      <c r="B8" t="s">
        <v>79</v>
      </c>
      <c r="C8">
        <v>18</v>
      </c>
      <c r="D8">
        <v>98</v>
      </c>
      <c r="E8">
        <v>71</v>
      </c>
      <c r="F8">
        <v>99</v>
      </c>
    </row>
    <row r="9" spans="1:11" x14ac:dyDescent="0.2">
      <c r="A9" t="s">
        <v>97</v>
      </c>
      <c r="B9" t="s">
        <v>80</v>
      </c>
      <c r="C9">
        <v>17</v>
      </c>
      <c r="D9">
        <v>67</v>
      </c>
      <c r="E9">
        <v>93</v>
      </c>
      <c r="F9">
        <v>91</v>
      </c>
    </row>
    <row r="10" spans="1:11" x14ac:dyDescent="0.2">
      <c r="A10" t="s">
        <v>98</v>
      </c>
      <c r="B10" t="s">
        <v>81</v>
      </c>
      <c r="C10">
        <v>17</v>
      </c>
      <c r="D10">
        <v>81</v>
      </c>
      <c r="E10">
        <v>72</v>
      </c>
      <c r="F10">
        <v>77</v>
      </c>
    </row>
    <row r="11" spans="1:11" x14ac:dyDescent="0.2">
      <c r="A11" t="s">
        <v>99</v>
      </c>
      <c r="B11" t="s">
        <v>82</v>
      </c>
      <c r="C11">
        <v>18</v>
      </c>
      <c r="D11">
        <v>87</v>
      </c>
      <c r="E11">
        <v>76</v>
      </c>
      <c r="F11">
        <v>89</v>
      </c>
    </row>
    <row r="12" spans="1:11" x14ac:dyDescent="0.2">
      <c r="A12" t="s">
        <v>100</v>
      </c>
      <c r="B12" t="s">
        <v>83</v>
      </c>
      <c r="C12">
        <v>20</v>
      </c>
      <c r="D12">
        <v>78</v>
      </c>
      <c r="E12">
        <v>62</v>
      </c>
      <c r="F12">
        <v>81</v>
      </c>
    </row>
    <row r="13" spans="1:11" x14ac:dyDescent="0.2">
      <c r="A13" t="s">
        <v>101</v>
      </c>
      <c r="B13" t="s">
        <v>84</v>
      </c>
      <c r="C13">
        <v>17</v>
      </c>
      <c r="D13">
        <v>67</v>
      </c>
      <c r="E13">
        <v>95</v>
      </c>
      <c r="F13">
        <v>69</v>
      </c>
    </row>
    <row r="14" spans="1:11" x14ac:dyDescent="0.2">
      <c r="A14" t="s">
        <v>102</v>
      </c>
      <c r="B14" t="s">
        <v>85</v>
      </c>
      <c r="C14">
        <v>18</v>
      </c>
      <c r="D14">
        <v>98</v>
      </c>
      <c r="E14">
        <v>64</v>
      </c>
      <c r="F14">
        <v>91</v>
      </c>
    </row>
    <row r="15" spans="1:11" x14ac:dyDescent="0.2">
      <c r="A15" t="s">
        <v>103</v>
      </c>
      <c r="B15" t="s">
        <v>86</v>
      </c>
      <c r="C15">
        <v>17</v>
      </c>
      <c r="D15">
        <v>66</v>
      </c>
      <c r="E15">
        <v>69</v>
      </c>
      <c r="F15">
        <v>79</v>
      </c>
    </row>
    <row r="16" spans="1:11" x14ac:dyDescent="0.2">
      <c r="A16" t="s">
        <v>104</v>
      </c>
      <c r="B16" t="s">
        <v>87</v>
      </c>
      <c r="C16">
        <v>17</v>
      </c>
      <c r="D16">
        <v>78</v>
      </c>
      <c r="E16">
        <v>80</v>
      </c>
      <c r="F16">
        <v>90</v>
      </c>
    </row>
    <row r="17" spans="1:6" x14ac:dyDescent="0.2">
      <c r="A17" t="s">
        <v>105</v>
      </c>
      <c r="B17" t="s">
        <v>88</v>
      </c>
      <c r="C17">
        <v>19</v>
      </c>
      <c r="D17">
        <v>97</v>
      </c>
      <c r="E17">
        <v>94</v>
      </c>
      <c r="F17">
        <v>96</v>
      </c>
    </row>
    <row r="18" spans="1:6" x14ac:dyDescent="0.2">
      <c r="A18" t="s">
        <v>106</v>
      </c>
      <c r="B18" t="s">
        <v>89</v>
      </c>
      <c r="C18">
        <v>20</v>
      </c>
      <c r="D18">
        <v>96</v>
      </c>
      <c r="E18">
        <v>93</v>
      </c>
      <c r="F18">
        <v>98</v>
      </c>
    </row>
    <row r="20" spans="1:6" x14ac:dyDescent="0.2">
      <c r="B20" t="s">
        <v>132</v>
      </c>
      <c r="C20" s="3"/>
    </row>
    <row r="21" spans="1:6" x14ac:dyDescent="0.2">
      <c r="B21" t="s">
        <v>133</v>
      </c>
      <c r="C21" s="3"/>
    </row>
    <row r="22" spans="1:6" x14ac:dyDescent="0.2">
      <c r="B22" t="s">
        <v>134</v>
      </c>
      <c r="C22" s="3"/>
    </row>
    <row r="23" spans="1:6" x14ac:dyDescent="0.2">
      <c r="B23" t="s">
        <v>135</v>
      </c>
      <c r="C23" s="3"/>
    </row>
    <row r="24" spans="1:6" x14ac:dyDescent="0.2">
      <c r="B24" t="s">
        <v>136</v>
      </c>
      <c r="C24" s="3"/>
    </row>
    <row r="25" spans="1:6" x14ac:dyDescent="0.2">
      <c r="B25" t="s">
        <v>137</v>
      </c>
      <c r="C25" s="3"/>
    </row>
    <row r="26" spans="1:6" x14ac:dyDescent="0.2">
      <c r="C26" s="4"/>
    </row>
    <row r="27" spans="1:6" x14ac:dyDescent="0.2">
      <c r="C27" s="4"/>
    </row>
    <row r="28" spans="1:6" x14ac:dyDescent="0.2">
      <c r="C28" s="4"/>
    </row>
    <row r="29" spans="1:6" x14ac:dyDescent="0.2">
      <c r="A29" t="s">
        <v>219</v>
      </c>
    </row>
    <row r="30" spans="1:6" s="5" customFormat="1" x14ac:dyDescent="0.2">
      <c r="A30" s="5" t="s">
        <v>220</v>
      </c>
    </row>
    <row r="31" spans="1:6" x14ac:dyDescent="0.2">
      <c r="A31" t="s">
        <v>218</v>
      </c>
    </row>
    <row r="32" spans="1:6" x14ac:dyDescent="0.2">
      <c r="A32" t="s">
        <v>217</v>
      </c>
    </row>
    <row r="33" spans="1:1" x14ac:dyDescent="0.2">
      <c r="A33" t="s">
        <v>216</v>
      </c>
    </row>
  </sheetData>
  <phoneticPr fontId="1" type="noConversion"/>
  <dataValidations count="1">
    <dataValidation type="list" allowBlank="1" showInputMessage="1" showErrorMessage="1" sqref="M13" xr:uid="{ADF40BCD-D270-4A95-AC3E-2CF75F47D009}">
      <formula1>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G13"/>
  <sheetViews>
    <sheetView workbookViewId="0">
      <selection activeCell="F22" sqref="F22"/>
    </sheetView>
  </sheetViews>
  <sheetFormatPr defaultRowHeight="14.25" x14ac:dyDescent="0.2"/>
  <cols>
    <col min="1" max="2" width="7.5" bestFit="1" customWidth="1"/>
    <col min="3" max="3" width="10" bestFit="1" customWidth="1"/>
    <col min="4" max="4" width="7.5" bestFit="1" customWidth="1"/>
    <col min="6" max="6" width="13.875" bestFit="1" customWidth="1"/>
    <col min="16" max="16" width="14.25" bestFit="1" customWidth="1"/>
  </cols>
  <sheetData>
    <row r="1" spans="1:7" x14ac:dyDescent="0.2">
      <c r="A1" t="s">
        <v>35</v>
      </c>
      <c r="B1" t="s">
        <v>36</v>
      </c>
      <c r="C1" t="s">
        <v>23</v>
      </c>
      <c r="D1" t="s">
        <v>37</v>
      </c>
    </row>
    <row r="2" spans="1:7" x14ac:dyDescent="0.2">
      <c r="A2" t="s">
        <v>30</v>
      </c>
      <c r="B2" t="s">
        <v>24</v>
      </c>
      <c r="C2" t="s">
        <v>11</v>
      </c>
      <c r="D2">
        <v>2500</v>
      </c>
      <c r="F2" t="s">
        <v>124</v>
      </c>
      <c r="G2" s="3"/>
    </row>
    <row r="3" spans="1:7" x14ac:dyDescent="0.2">
      <c r="A3" t="s">
        <v>31</v>
      </c>
      <c r="B3" t="s">
        <v>25</v>
      </c>
      <c r="C3" t="s">
        <v>12</v>
      </c>
      <c r="D3">
        <v>150</v>
      </c>
    </row>
    <row r="4" spans="1:7" x14ac:dyDescent="0.2">
      <c r="A4" t="s">
        <v>38</v>
      </c>
      <c r="B4" t="s">
        <v>25</v>
      </c>
      <c r="C4" t="s">
        <v>13</v>
      </c>
      <c r="D4">
        <v>3000</v>
      </c>
      <c r="F4" t="s">
        <v>125</v>
      </c>
      <c r="G4" s="3"/>
    </row>
    <row r="5" spans="1:7" x14ac:dyDescent="0.2">
      <c r="A5" t="s">
        <v>39</v>
      </c>
      <c r="B5" t="s">
        <v>24</v>
      </c>
      <c r="C5" t="s">
        <v>14</v>
      </c>
      <c r="D5">
        <v>4000</v>
      </c>
      <c r="F5" t="s">
        <v>126</v>
      </c>
      <c r="G5" s="3"/>
    </row>
    <row r="6" spans="1:7" x14ac:dyDescent="0.2">
      <c r="A6" t="s">
        <v>29</v>
      </c>
      <c r="B6" t="s">
        <v>24</v>
      </c>
      <c r="C6" t="s">
        <v>15</v>
      </c>
      <c r="D6">
        <v>2700</v>
      </c>
      <c r="F6" t="s">
        <v>127</v>
      </c>
      <c r="G6" s="3"/>
    </row>
    <row r="7" spans="1:7" x14ac:dyDescent="0.2">
      <c r="A7" t="s">
        <v>32</v>
      </c>
      <c r="B7" t="s">
        <v>34</v>
      </c>
      <c r="C7" t="s">
        <v>16</v>
      </c>
      <c r="D7">
        <v>600</v>
      </c>
    </row>
    <row r="8" spans="1:7" x14ac:dyDescent="0.2">
      <c r="A8" t="s">
        <v>28</v>
      </c>
      <c r="B8" t="s">
        <v>34</v>
      </c>
      <c r="C8" t="s">
        <v>17</v>
      </c>
      <c r="D8">
        <v>5000</v>
      </c>
    </row>
    <row r="9" spans="1:7" x14ac:dyDescent="0.2">
      <c r="A9" t="s">
        <v>27</v>
      </c>
      <c r="B9" t="s">
        <v>34</v>
      </c>
      <c r="C9" t="s">
        <v>18</v>
      </c>
      <c r="D9">
        <v>3500</v>
      </c>
    </row>
    <row r="10" spans="1:7" x14ac:dyDescent="0.2">
      <c r="A10" t="s">
        <v>40</v>
      </c>
      <c r="B10" t="s">
        <v>24</v>
      </c>
      <c r="C10" t="s">
        <v>19</v>
      </c>
      <c r="D10">
        <v>2600</v>
      </c>
    </row>
    <row r="11" spans="1:7" x14ac:dyDescent="0.2">
      <c r="A11" t="s">
        <v>26</v>
      </c>
      <c r="B11" t="s">
        <v>24</v>
      </c>
      <c r="C11" t="s">
        <v>20</v>
      </c>
      <c r="D11">
        <v>700</v>
      </c>
    </row>
    <row r="12" spans="1:7" x14ac:dyDescent="0.2">
      <c r="A12" t="s">
        <v>33</v>
      </c>
      <c r="B12" t="s">
        <v>25</v>
      </c>
      <c r="C12" t="s">
        <v>21</v>
      </c>
      <c r="D12">
        <v>1200</v>
      </c>
    </row>
    <row r="13" spans="1:7" x14ac:dyDescent="0.2">
      <c r="A13" t="s">
        <v>26</v>
      </c>
      <c r="B13" t="s">
        <v>24</v>
      </c>
      <c r="C13" t="s">
        <v>22</v>
      </c>
      <c r="D13">
        <v>2200</v>
      </c>
    </row>
  </sheetData>
  <sortState xmlns:xlrd2="http://schemas.microsoft.com/office/spreadsheetml/2017/richdata2" ref="A2:D14">
    <sortCondition ref="B2:B14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Q11"/>
  <sheetViews>
    <sheetView workbookViewId="0">
      <selection activeCell="P8" sqref="P8"/>
    </sheetView>
  </sheetViews>
  <sheetFormatPr defaultRowHeight="14.25" x14ac:dyDescent="0.2"/>
  <cols>
    <col min="1" max="2" width="9.5" bestFit="1" customWidth="1"/>
    <col min="3" max="3" width="5.5" bestFit="1" customWidth="1"/>
    <col min="4" max="4" width="13.875" bestFit="1" customWidth="1"/>
    <col min="5" max="5" width="11.125" bestFit="1" customWidth="1"/>
    <col min="6" max="6" width="5.5" bestFit="1" customWidth="1"/>
    <col min="7" max="7" width="7.5" bestFit="1" customWidth="1"/>
    <col min="8" max="9" width="9.5" bestFit="1" customWidth="1"/>
    <col min="10" max="10" width="7.5" bestFit="1" customWidth="1"/>
    <col min="11" max="11" width="5.5" bestFit="1" customWidth="1"/>
    <col min="12" max="12" width="9.5" bestFit="1" customWidth="1"/>
  </cols>
  <sheetData>
    <row r="1" spans="1:17" x14ac:dyDescent="0.2">
      <c r="A1" t="s">
        <v>41</v>
      </c>
      <c r="B1" t="s">
        <v>42</v>
      </c>
      <c r="C1" t="s">
        <v>113</v>
      </c>
      <c r="D1" t="s">
        <v>116</v>
      </c>
      <c r="E1" t="s">
        <v>115</v>
      </c>
      <c r="F1" t="s">
        <v>114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</row>
    <row r="2" spans="1:17" x14ac:dyDescent="0.2">
      <c r="A2" t="s">
        <v>49</v>
      </c>
      <c r="B2" t="s">
        <v>50</v>
      </c>
      <c r="C2" t="s">
        <v>117</v>
      </c>
      <c r="D2" t="s">
        <v>119</v>
      </c>
      <c r="E2">
        <v>21925</v>
      </c>
      <c r="F2" t="s">
        <v>118</v>
      </c>
      <c r="G2" t="s">
        <v>51</v>
      </c>
      <c r="H2">
        <v>4700</v>
      </c>
      <c r="I2">
        <v>1500</v>
      </c>
      <c r="J2">
        <v>103</v>
      </c>
      <c r="K2">
        <v>800</v>
      </c>
    </row>
    <row r="3" spans="1:17" x14ac:dyDescent="0.2">
      <c r="A3" t="s">
        <v>52</v>
      </c>
      <c r="B3" t="s">
        <v>53</v>
      </c>
      <c r="C3" t="s">
        <v>117</v>
      </c>
      <c r="D3" t="s">
        <v>119</v>
      </c>
      <c r="E3">
        <v>25122</v>
      </c>
      <c r="F3" t="s">
        <v>118</v>
      </c>
      <c r="G3" t="s">
        <v>54</v>
      </c>
      <c r="H3">
        <v>3200</v>
      </c>
      <c r="I3">
        <v>1000</v>
      </c>
      <c r="J3">
        <v>205</v>
      </c>
      <c r="K3">
        <v>500</v>
      </c>
      <c r="P3" t="s">
        <v>205</v>
      </c>
    </row>
    <row r="4" spans="1:17" x14ac:dyDescent="0.2">
      <c r="A4" t="s">
        <v>55</v>
      </c>
      <c r="B4" t="s">
        <v>56</v>
      </c>
      <c r="C4" t="s">
        <v>117</v>
      </c>
      <c r="D4" t="s">
        <v>119</v>
      </c>
      <c r="E4">
        <v>20950</v>
      </c>
      <c r="F4" t="s">
        <v>120</v>
      </c>
      <c r="G4" t="s">
        <v>54</v>
      </c>
      <c r="H4">
        <v>3400</v>
      </c>
      <c r="I4">
        <v>1000</v>
      </c>
      <c r="J4">
        <v>162</v>
      </c>
      <c r="K4">
        <v>800</v>
      </c>
      <c r="P4" t="s">
        <v>129</v>
      </c>
      <c r="Q4" t="s">
        <v>130</v>
      </c>
    </row>
    <row r="5" spans="1:17" x14ac:dyDescent="0.2">
      <c r="A5" t="s">
        <v>57</v>
      </c>
      <c r="B5" t="s">
        <v>58</v>
      </c>
      <c r="C5" t="s">
        <v>117</v>
      </c>
      <c r="D5" t="s">
        <v>119</v>
      </c>
      <c r="E5">
        <v>22132</v>
      </c>
      <c r="F5" t="s">
        <v>121</v>
      </c>
      <c r="G5" t="s">
        <v>59</v>
      </c>
      <c r="H5">
        <v>5000</v>
      </c>
      <c r="I5">
        <v>2000</v>
      </c>
      <c r="J5">
        <v>95.5</v>
      </c>
      <c r="K5">
        <v>1000</v>
      </c>
      <c r="P5" t="s">
        <v>128</v>
      </c>
      <c r="Q5" t="s">
        <v>131</v>
      </c>
    </row>
    <row r="6" spans="1:17" x14ac:dyDescent="0.2">
      <c r="A6" t="s">
        <v>60</v>
      </c>
      <c r="B6" t="s">
        <v>61</v>
      </c>
      <c r="C6" t="s">
        <v>122</v>
      </c>
      <c r="D6" t="s">
        <v>119</v>
      </c>
      <c r="E6">
        <v>21220</v>
      </c>
      <c r="F6" t="s">
        <v>121</v>
      </c>
      <c r="G6" t="s">
        <v>51</v>
      </c>
      <c r="H6">
        <v>4500</v>
      </c>
      <c r="I6">
        <v>1500</v>
      </c>
      <c r="J6">
        <v>100.5</v>
      </c>
      <c r="K6">
        <v>1000</v>
      </c>
    </row>
    <row r="7" spans="1:17" x14ac:dyDescent="0.2">
      <c r="A7" t="s">
        <v>62</v>
      </c>
      <c r="B7" t="s">
        <v>63</v>
      </c>
      <c r="C7" t="s">
        <v>122</v>
      </c>
      <c r="D7" t="s">
        <v>123</v>
      </c>
      <c r="E7">
        <v>21248</v>
      </c>
      <c r="F7" t="s">
        <v>121</v>
      </c>
      <c r="G7" t="s">
        <v>54</v>
      </c>
      <c r="H7">
        <v>3800</v>
      </c>
      <c r="I7">
        <v>1000</v>
      </c>
      <c r="J7">
        <v>150</v>
      </c>
      <c r="K7">
        <v>800</v>
      </c>
    </row>
    <row r="8" spans="1:17" x14ac:dyDescent="0.2">
      <c r="A8" t="s">
        <v>64</v>
      </c>
      <c r="B8" t="s">
        <v>65</v>
      </c>
      <c r="C8" t="s">
        <v>122</v>
      </c>
      <c r="D8" t="s">
        <v>123</v>
      </c>
      <c r="E8">
        <v>22951</v>
      </c>
      <c r="F8" t="s">
        <v>118</v>
      </c>
      <c r="G8" t="s">
        <v>51</v>
      </c>
      <c r="H8">
        <v>4300</v>
      </c>
      <c r="I8">
        <v>1500</v>
      </c>
      <c r="J8">
        <v>110</v>
      </c>
      <c r="K8">
        <v>480</v>
      </c>
    </row>
    <row r="9" spans="1:17" x14ac:dyDescent="0.2">
      <c r="A9" t="s">
        <v>66</v>
      </c>
      <c r="B9" t="s">
        <v>67</v>
      </c>
      <c r="C9" t="s">
        <v>117</v>
      </c>
      <c r="D9" t="s">
        <v>123</v>
      </c>
      <c r="E9">
        <v>20616</v>
      </c>
      <c r="F9" t="s">
        <v>120</v>
      </c>
      <c r="G9" t="s">
        <v>51</v>
      </c>
      <c r="H9">
        <v>4500</v>
      </c>
      <c r="I9">
        <v>1500</v>
      </c>
      <c r="J9">
        <v>98.5</v>
      </c>
      <c r="K9">
        <v>900</v>
      </c>
    </row>
    <row r="10" spans="1:17" x14ac:dyDescent="0.2">
      <c r="A10" t="s">
        <v>68</v>
      </c>
      <c r="B10" t="s">
        <v>69</v>
      </c>
      <c r="C10" t="s">
        <v>117</v>
      </c>
      <c r="D10" t="s">
        <v>123</v>
      </c>
      <c r="E10">
        <v>21956</v>
      </c>
      <c r="F10" t="s">
        <v>120</v>
      </c>
      <c r="G10" t="s">
        <v>70</v>
      </c>
      <c r="H10">
        <v>4600</v>
      </c>
      <c r="I10">
        <v>2000</v>
      </c>
      <c r="J10">
        <v>154</v>
      </c>
      <c r="K10">
        <v>600</v>
      </c>
    </row>
    <row r="11" spans="1:17" x14ac:dyDescent="0.2">
      <c r="A11" t="s">
        <v>71</v>
      </c>
      <c r="B11" t="s">
        <v>72</v>
      </c>
      <c r="C11" t="s">
        <v>122</v>
      </c>
      <c r="D11" t="s">
        <v>123</v>
      </c>
      <c r="E11">
        <v>25851</v>
      </c>
      <c r="F11" t="s">
        <v>120</v>
      </c>
      <c r="G11" t="s">
        <v>54</v>
      </c>
      <c r="H11">
        <v>3700</v>
      </c>
      <c r="I11">
        <v>1000</v>
      </c>
      <c r="J11">
        <v>105</v>
      </c>
      <c r="K11">
        <v>800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35B0-C993-4BCF-AB27-DE2EEDBA9C95}">
  <dimension ref="A1:K18"/>
  <sheetViews>
    <sheetView workbookViewId="0">
      <selection activeCell="L14" sqref="L14"/>
    </sheetView>
  </sheetViews>
  <sheetFormatPr defaultRowHeight="14.25" x14ac:dyDescent="0.2"/>
  <sheetData>
    <row r="1" spans="1:11" x14ac:dyDescent="0.2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K1" t="s">
        <v>206</v>
      </c>
    </row>
    <row r="2" spans="1:11" x14ac:dyDescent="0.2">
      <c r="A2" t="s">
        <v>90</v>
      </c>
      <c r="B2" t="s">
        <v>73</v>
      </c>
      <c r="C2">
        <v>90</v>
      </c>
      <c r="D2">
        <v>68</v>
      </c>
      <c r="E2">
        <v>90</v>
      </c>
      <c r="F2">
        <f t="shared" ref="F2:F18" si="0">C2+D2+E2</f>
        <v>248</v>
      </c>
      <c r="K2" t="s">
        <v>207</v>
      </c>
    </row>
    <row r="3" spans="1:11" x14ac:dyDescent="0.2">
      <c r="A3" t="s">
        <v>91</v>
      </c>
      <c r="B3" t="s">
        <v>74</v>
      </c>
      <c r="C3">
        <v>96</v>
      </c>
      <c r="D3">
        <v>92</v>
      </c>
      <c r="E3">
        <v>97</v>
      </c>
      <c r="F3">
        <f t="shared" si="0"/>
        <v>285</v>
      </c>
    </row>
    <row r="4" spans="1:11" x14ac:dyDescent="0.2">
      <c r="A4" t="s">
        <v>92</v>
      </c>
      <c r="B4" t="s">
        <v>75</v>
      </c>
      <c r="C4">
        <v>68</v>
      </c>
      <c r="D4">
        <v>95</v>
      </c>
      <c r="E4">
        <v>96</v>
      </c>
      <c r="F4">
        <f t="shared" si="0"/>
        <v>259</v>
      </c>
    </row>
    <row r="5" spans="1:11" x14ac:dyDescent="0.2">
      <c r="A5" t="s">
        <v>93</v>
      </c>
      <c r="B5" t="s">
        <v>76</v>
      </c>
      <c r="C5">
        <v>78</v>
      </c>
      <c r="D5">
        <v>78</v>
      </c>
      <c r="E5">
        <v>92</v>
      </c>
      <c r="F5">
        <f t="shared" si="0"/>
        <v>248</v>
      </c>
    </row>
    <row r="6" spans="1:11" x14ac:dyDescent="0.2">
      <c r="A6" t="s">
        <v>94</v>
      </c>
      <c r="B6" t="s">
        <v>77</v>
      </c>
      <c r="C6">
        <v>75</v>
      </c>
      <c r="D6">
        <v>79</v>
      </c>
      <c r="E6">
        <v>97</v>
      </c>
      <c r="F6">
        <f t="shared" si="0"/>
        <v>251</v>
      </c>
    </row>
    <row r="7" spans="1:11" x14ac:dyDescent="0.2">
      <c r="A7" t="s">
        <v>95</v>
      </c>
      <c r="B7" t="s">
        <v>78</v>
      </c>
      <c r="C7">
        <v>87</v>
      </c>
      <c r="D7">
        <v>87</v>
      </c>
      <c r="E7">
        <v>95</v>
      </c>
      <c r="F7">
        <f t="shared" si="0"/>
        <v>269</v>
      </c>
    </row>
    <row r="8" spans="1:11" x14ac:dyDescent="0.2">
      <c r="A8" t="s">
        <v>96</v>
      </c>
      <c r="B8" t="s">
        <v>79</v>
      </c>
      <c r="C8">
        <v>85</v>
      </c>
      <c r="D8">
        <v>87</v>
      </c>
      <c r="E8">
        <v>98</v>
      </c>
      <c r="F8">
        <f t="shared" si="0"/>
        <v>270</v>
      </c>
    </row>
    <row r="9" spans="1:11" x14ac:dyDescent="0.2">
      <c r="A9" t="s">
        <v>97</v>
      </c>
      <c r="B9" t="s">
        <v>80</v>
      </c>
      <c r="C9">
        <v>75</v>
      </c>
      <c r="D9">
        <v>76</v>
      </c>
      <c r="E9">
        <v>93</v>
      </c>
      <c r="F9">
        <f t="shared" si="0"/>
        <v>244</v>
      </c>
    </row>
    <row r="10" spans="1:11" x14ac:dyDescent="0.2">
      <c r="A10" t="s">
        <v>98</v>
      </c>
      <c r="B10" t="s">
        <v>81</v>
      </c>
      <c r="C10">
        <v>88</v>
      </c>
      <c r="D10">
        <v>78</v>
      </c>
      <c r="E10">
        <v>90</v>
      </c>
      <c r="F10">
        <f t="shared" si="0"/>
        <v>256</v>
      </c>
    </row>
    <row r="11" spans="1:11" x14ac:dyDescent="0.2">
      <c r="A11" t="s">
        <v>99</v>
      </c>
      <c r="B11" t="s">
        <v>82</v>
      </c>
      <c r="C11">
        <v>96</v>
      </c>
      <c r="D11">
        <v>86</v>
      </c>
      <c r="E11">
        <v>93</v>
      </c>
      <c r="F11">
        <f t="shared" si="0"/>
        <v>275</v>
      </c>
    </row>
    <row r="12" spans="1:11" x14ac:dyDescent="0.2">
      <c r="A12" t="s">
        <v>100</v>
      </c>
      <c r="B12" t="s">
        <v>83</v>
      </c>
      <c r="C12">
        <v>95</v>
      </c>
      <c r="D12">
        <v>84</v>
      </c>
      <c r="E12">
        <v>95</v>
      </c>
      <c r="F12">
        <f t="shared" si="0"/>
        <v>274</v>
      </c>
    </row>
    <row r="13" spans="1:11" x14ac:dyDescent="0.2">
      <c r="A13" t="s">
        <v>101</v>
      </c>
      <c r="B13" t="s">
        <v>84</v>
      </c>
      <c r="C13">
        <v>90</v>
      </c>
      <c r="D13">
        <v>86</v>
      </c>
      <c r="E13">
        <v>91</v>
      </c>
      <c r="F13">
        <f t="shared" si="0"/>
        <v>267</v>
      </c>
    </row>
    <row r="14" spans="1:11" x14ac:dyDescent="0.2">
      <c r="A14" t="s">
        <v>102</v>
      </c>
      <c r="B14" t="s">
        <v>85</v>
      </c>
      <c r="C14">
        <v>86</v>
      </c>
      <c r="D14">
        <v>83</v>
      </c>
      <c r="E14">
        <v>93</v>
      </c>
      <c r="F14">
        <f t="shared" si="0"/>
        <v>262</v>
      </c>
    </row>
    <row r="15" spans="1:11" x14ac:dyDescent="0.2">
      <c r="A15" t="s">
        <v>103</v>
      </c>
      <c r="B15" t="s">
        <v>86</v>
      </c>
      <c r="C15">
        <v>86</v>
      </c>
      <c r="D15">
        <v>80</v>
      </c>
      <c r="E15">
        <v>92</v>
      </c>
      <c r="F15">
        <f t="shared" si="0"/>
        <v>258</v>
      </c>
    </row>
    <row r="16" spans="1:11" x14ac:dyDescent="0.2">
      <c r="A16" t="s">
        <v>104</v>
      </c>
      <c r="B16" t="s">
        <v>87</v>
      </c>
      <c r="C16">
        <v>98</v>
      </c>
      <c r="D16">
        <v>93</v>
      </c>
      <c r="E16">
        <v>96</v>
      </c>
      <c r="F16">
        <f t="shared" si="0"/>
        <v>287</v>
      </c>
    </row>
    <row r="17" spans="1:6" x14ac:dyDescent="0.2">
      <c r="A17" t="s">
        <v>105</v>
      </c>
      <c r="B17" t="s">
        <v>88</v>
      </c>
      <c r="C17">
        <v>97</v>
      </c>
      <c r="D17">
        <v>94</v>
      </c>
      <c r="E17">
        <v>96</v>
      </c>
      <c r="F17">
        <f t="shared" si="0"/>
        <v>287</v>
      </c>
    </row>
    <row r="18" spans="1:6" x14ac:dyDescent="0.2">
      <c r="A18" t="s">
        <v>106</v>
      </c>
      <c r="B18" t="s">
        <v>89</v>
      </c>
      <c r="C18">
        <v>96</v>
      </c>
      <c r="D18">
        <v>93</v>
      </c>
      <c r="E18">
        <v>98</v>
      </c>
      <c r="F18">
        <f t="shared" si="0"/>
        <v>287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603A-B2D6-4548-A73D-81A72F0DE6E5}">
  <dimension ref="A1:A12"/>
  <sheetViews>
    <sheetView tabSelected="1" workbookViewId="0">
      <selection activeCell="F25" sqref="F25"/>
    </sheetView>
  </sheetViews>
  <sheetFormatPr defaultRowHeight="14.25" x14ac:dyDescent="0.2"/>
  <sheetData>
    <row r="1" spans="1:1" x14ac:dyDescent="0.2">
      <c r="A1" t="s">
        <v>208</v>
      </c>
    </row>
    <row r="2" spans="1:1" x14ac:dyDescent="0.2">
      <c r="A2" t="s">
        <v>211</v>
      </c>
    </row>
    <row r="3" spans="1:1" x14ac:dyDescent="0.2">
      <c r="A3" t="s">
        <v>212</v>
      </c>
    </row>
    <row r="4" spans="1:1" x14ac:dyDescent="0.2">
      <c r="A4" t="s">
        <v>209</v>
      </c>
    </row>
    <row r="5" spans="1:1" x14ac:dyDescent="0.2">
      <c r="A5" t="s">
        <v>210</v>
      </c>
    </row>
    <row r="10" spans="1:1" x14ac:dyDescent="0.2">
      <c r="A10" t="s">
        <v>213</v>
      </c>
    </row>
    <row r="11" spans="1:1" x14ac:dyDescent="0.2">
      <c r="A11" t="s">
        <v>214</v>
      </c>
    </row>
    <row r="12" spans="1:1" x14ac:dyDescent="0.2">
      <c r="A12" t="s">
        <v>215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通信录</vt:lpstr>
      <vt:lpstr>学生成绩</vt:lpstr>
      <vt:lpstr>销售记录</vt:lpstr>
      <vt:lpstr>工资收入</vt:lpstr>
      <vt:lpstr>高考成绩</vt:lpstr>
      <vt:lpstr>迷你图</vt:lpstr>
      <vt:lpstr>工资收入!Criteria</vt:lpstr>
      <vt:lpstr>工资收入!提取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2026-05-14T13:54:43Z</dcterms:modified>
</cp:coreProperties>
</file>