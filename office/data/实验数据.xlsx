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plaman.github.io\office\data\"/>
    </mc:Choice>
  </mc:AlternateContent>
  <xr:revisionPtr revIDLastSave="0" documentId="13_ncr:1_{F4D19A03-9E14-40AE-8DED-2681673157B8}" xr6:coauthVersionLast="47" xr6:coauthVersionMax="47" xr10:uidLastSave="{00000000-0000-0000-0000-000000000000}"/>
  <bookViews>
    <workbookView xWindow="-120" yWindow="-120" windowWidth="29040" windowHeight="15720" xr2:uid="{2E5A61E7-CF82-4D7E-B994-D412ADB0B79D}"/>
  </bookViews>
  <sheets>
    <sheet name="通信录" sheetId="6" r:id="rId1"/>
    <sheet name="学生成绩" sheetId="1" r:id="rId2"/>
    <sheet name="销售记录" sheetId="3" r:id="rId3"/>
    <sheet name="工资收入" sheetId="4" r:id="rId4"/>
    <sheet name="高考成绩" sheetId="5" r:id="rId5"/>
    <sheet name="迷你图" sheetId="7" r:id="rId6"/>
    <sheet name="门店晚间收益" sheetId="8" r:id="rId7"/>
    <sheet name="销售利润" sheetId="9" r:id="rId8"/>
  </sheets>
  <definedNames>
    <definedName name="_xlnm._FilterDatabase" localSheetId="3" hidden="1">工资收入!$A$1:$M$31</definedName>
    <definedName name="_xlnm._FilterDatabase" localSheetId="6" hidden="1">门店晚间收益!$A$1:$P$61</definedName>
    <definedName name="_xlnm._FilterDatabase" localSheetId="1" hidden="1">学生成绩!$A$1:$M$16</definedName>
    <definedName name="_xlnm.Criteria" localSheetId="3">工资收入!$P$4:$R$5</definedName>
    <definedName name="_xlnm.Extract" localSheetId="3">工资收入!$P$13:$AB$13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</calcChain>
</file>

<file path=xl/sharedStrings.xml><?xml version="1.0" encoding="utf-8"?>
<sst xmlns="http://schemas.openxmlformats.org/spreadsheetml/2006/main" count="1176" uniqueCount="390">
  <si>
    <t>学号</t>
    <phoneticPr fontId="1" type="noConversion"/>
  </si>
  <si>
    <t>姓名</t>
    <phoneticPr fontId="1" type="noConversion"/>
  </si>
  <si>
    <t>计算机基础</t>
    <phoneticPr fontId="1" type="noConversion"/>
  </si>
  <si>
    <t>大学英语</t>
    <phoneticPr fontId="1" type="noConversion"/>
  </si>
  <si>
    <t>平均分</t>
    <phoneticPr fontId="1" type="noConversion"/>
  </si>
  <si>
    <t>公共体育</t>
    <phoneticPr fontId="1" type="noConversion"/>
  </si>
  <si>
    <t>总分</t>
    <phoneticPr fontId="1" type="noConversion"/>
  </si>
  <si>
    <t>五级评定</t>
    <phoneticPr fontId="1" type="noConversion"/>
  </si>
  <si>
    <t>两级评定</t>
    <phoneticPr fontId="1" type="noConversion"/>
  </si>
  <si>
    <t>排名</t>
    <phoneticPr fontId="1" type="noConversion"/>
  </si>
  <si>
    <t>日期</t>
  </si>
  <si>
    <t>水果</t>
  </si>
  <si>
    <t>蔬菜</t>
  </si>
  <si>
    <t>菠萝</t>
  </si>
  <si>
    <t>奶酪</t>
  </si>
  <si>
    <t>牛奶</t>
  </si>
  <si>
    <t>芒果</t>
  </si>
  <si>
    <t>苹果</t>
  </si>
  <si>
    <t>茄子</t>
  </si>
  <si>
    <t>黄油</t>
  </si>
  <si>
    <t>花椰菜</t>
  </si>
  <si>
    <t>乳制品</t>
  </si>
  <si>
    <t>食品</t>
  </si>
  <si>
    <t>类别</t>
  </si>
  <si>
    <t>销售额</t>
  </si>
  <si>
    <t>白土豆</t>
  </si>
  <si>
    <t>葡萄</t>
  </si>
  <si>
    <t>橙子</t>
  </si>
  <si>
    <t>职工编号</t>
  </si>
  <si>
    <t>基本工资</t>
  </si>
  <si>
    <t>房租</t>
  </si>
  <si>
    <t>张京平</t>
  </si>
  <si>
    <t>何立立</t>
  </si>
  <si>
    <t>方洪海</t>
  </si>
  <si>
    <t>李宇红</t>
  </si>
  <si>
    <t>田皎皎</t>
  </si>
  <si>
    <t>田立萍</t>
  </si>
  <si>
    <t>甘小间</t>
  </si>
  <si>
    <t>戴江宁</t>
  </si>
  <si>
    <t>教授</t>
  </si>
  <si>
    <t>徐万万</t>
  </si>
  <si>
    <t>陈素梅</t>
  </si>
  <si>
    <t>程美娟</t>
  </si>
  <si>
    <t>李金威</t>
  </si>
  <si>
    <t>林艳芳</t>
  </si>
  <si>
    <t>黄健</t>
  </si>
  <si>
    <t>李健威</t>
  </si>
  <si>
    <t>黄欣欣</t>
  </si>
  <si>
    <t>黄艳芳</t>
  </si>
  <si>
    <t>黄怡</t>
  </si>
  <si>
    <t>梁敏红</t>
  </si>
  <si>
    <t>谢书林</t>
  </si>
  <si>
    <t>曾诚</t>
  </si>
  <si>
    <t>樊刚正</t>
  </si>
  <si>
    <t>李翠玲</t>
  </si>
  <si>
    <t>李健</t>
  </si>
  <si>
    <t>李霖明</t>
  </si>
  <si>
    <t>李敏颖</t>
  </si>
  <si>
    <t>03101001</t>
  </si>
  <si>
    <t>03101002</t>
  </si>
  <si>
    <t>03101003</t>
  </si>
  <si>
    <t>03101004</t>
  </si>
  <si>
    <t>03101005</t>
  </si>
  <si>
    <t>03101006</t>
  </si>
  <si>
    <t>03101007</t>
  </si>
  <si>
    <t>03101008</t>
  </si>
  <si>
    <t>03101009</t>
  </si>
  <si>
    <t>03101010</t>
  </si>
  <si>
    <t>03101011</t>
  </si>
  <si>
    <t>03101012</t>
  </si>
  <si>
    <t>03101013</t>
  </si>
  <si>
    <t>03101014</t>
  </si>
  <si>
    <t>03101015</t>
  </si>
  <si>
    <t>03101016</t>
  </si>
  <si>
    <t>03101017</t>
  </si>
  <si>
    <t>考号</t>
    <phoneticPr fontId="1" type="noConversion"/>
  </si>
  <si>
    <t>姓名</t>
  </si>
  <si>
    <t>语文</t>
    <phoneticPr fontId="1" type="noConversion"/>
  </si>
  <si>
    <t>数学</t>
    <phoneticPr fontId="1" type="noConversion"/>
  </si>
  <si>
    <t>英语</t>
    <phoneticPr fontId="1" type="noConversion"/>
  </si>
  <si>
    <t>高考总分</t>
  </si>
  <si>
    <t>性别</t>
  </si>
  <si>
    <t>学历</t>
  </si>
  <si>
    <t>出生日期</t>
  </si>
  <si>
    <t>部门</t>
  </si>
  <si>
    <t>男</t>
  </si>
  <si>
    <t>博士</t>
  </si>
  <si>
    <t>计算机科学系</t>
  </si>
  <si>
    <t>硕士</t>
  </si>
  <si>
    <t>学士</t>
  </si>
  <si>
    <t>女</t>
  </si>
  <si>
    <t>电子系</t>
  </si>
  <si>
    <t>菠萝销售额</t>
    <phoneticPr fontId="1" type="noConversion"/>
  </si>
  <si>
    <t>水果销售额</t>
    <phoneticPr fontId="1" type="noConversion"/>
  </si>
  <si>
    <t>蔬菜销售额</t>
    <phoneticPr fontId="1" type="noConversion"/>
  </si>
  <si>
    <t>乳制品销售额</t>
    <phoneticPr fontId="1" type="noConversion"/>
  </si>
  <si>
    <t>教授</t>
    <phoneticPr fontId="1" type="noConversion"/>
  </si>
  <si>
    <t>职称</t>
    <phoneticPr fontId="1" type="noConversion"/>
  </si>
  <si>
    <t>实际收入</t>
    <phoneticPr fontId="1" type="noConversion"/>
  </si>
  <si>
    <t>&lt;8000</t>
    <phoneticPr fontId="1" type="noConversion"/>
  </si>
  <si>
    <t>单位</t>
    <phoneticPr fontId="1" type="noConversion"/>
  </si>
  <si>
    <t>职务</t>
    <phoneticPr fontId="1" type="noConversion"/>
  </si>
  <si>
    <t>性别</t>
    <phoneticPr fontId="1" type="noConversion"/>
  </si>
  <si>
    <t>联系电话</t>
    <phoneticPr fontId="1" type="noConversion"/>
  </si>
  <si>
    <t>美的全球创新中心研发部</t>
    <phoneticPr fontId="1" type="noConversion"/>
  </si>
  <si>
    <t>男</t>
    <phoneticPr fontId="1" type="noConversion"/>
  </si>
  <si>
    <t>华帝公司人力资源部</t>
    <phoneticPr fontId="1" type="noConversion"/>
  </si>
  <si>
    <t>格力公司创新研究部</t>
    <phoneticPr fontId="1" type="noConversion"/>
  </si>
  <si>
    <t>女</t>
    <phoneticPr fontId="1" type="noConversion"/>
  </si>
  <si>
    <t>海尔公司策划部</t>
    <phoneticPr fontId="1" type="noConversion"/>
  </si>
  <si>
    <t>序号</t>
    <phoneticPr fontId="1" type="noConversion"/>
  </si>
  <si>
    <t>部门</t>
    <phoneticPr fontId="1" type="noConversion"/>
  </si>
  <si>
    <t>信用</t>
    <phoneticPr fontId="1" type="noConversion"/>
  </si>
  <si>
    <t>邮箱</t>
    <phoneticPr fontId="1" type="noConversion"/>
  </si>
  <si>
    <t>地址</t>
    <phoneticPr fontId="1" type="noConversion"/>
  </si>
  <si>
    <t>生日</t>
    <phoneticPr fontId="1" type="noConversion"/>
  </si>
  <si>
    <t>头像</t>
    <phoneticPr fontId="1" type="noConversion"/>
  </si>
  <si>
    <t>张良</t>
    <phoneticPr fontId="1" type="noConversion"/>
  </si>
  <si>
    <t>教务</t>
    <phoneticPr fontId="1" type="noConversion"/>
  </si>
  <si>
    <t>gl@gmail.com</t>
    <phoneticPr fontId="1" type="noConversion"/>
  </si>
  <si>
    <t>桂林七星</t>
    <phoneticPr fontId="1" type="noConversion"/>
  </si>
  <si>
    <t>ecel.png</t>
    <phoneticPr fontId="1" type="noConversion"/>
  </si>
  <si>
    <t>孟超</t>
    <phoneticPr fontId="1" type="noConversion"/>
  </si>
  <si>
    <t>人事</t>
    <phoneticPr fontId="1" type="noConversion"/>
  </si>
  <si>
    <t>boy@hotmail.com</t>
    <phoneticPr fontId="1" type="noConversion"/>
  </si>
  <si>
    <t>广州天河</t>
    <phoneticPr fontId="1" type="noConversion"/>
  </si>
  <si>
    <t>gif.png</t>
    <phoneticPr fontId="1" type="noConversion"/>
  </si>
  <si>
    <t>胡军</t>
    <phoneticPr fontId="1" type="noConversion"/>
  </si>
  <si>
    <t>后勤</t>
    <phoneticPr fontId="1" type="noConversion"/>
  </si>
  <si>
    <t>cq126.com</t>
    <phoneticPr fontId="1" type="noConversion"/>
  </si>
  <si>
    <t>上海闵行</t>
    <phoneticPr fontId="1" type="noConversion"/>
  </si>
  <si>
    <t>jpg.png</t>
    <phoneticPr fontId="1" type="noConversion"/>
  </si>
  <si>
    <t>立冬名</t>
    <phoneticPr fontId="1" type="noConversion"/>
  </si>
  <si>
    <t>信工</t>
    <phoneticPr fontId="1" type="noConversion"/>
  </si>
  <si>
    <t>gz@163.com</t>
    <phoneticPr fontId="1" type="noConversion"/>
  </si>
  <si>
    <t>重庆沙坪坝</t>
    <phoneticPr fontId="1" type="noConversion"/>
  </si>
  <si>
    <t>pdf.png</t>
    <phoneticPr fontId="1" type="noConversion"/>
  </si>
  <si>
    <t>姚为明</t>
    <phoneticPr fontId="1" type="noConversion"/>
  </si>
  <si>
    <t>传媒</t>
    <phoneticPr fontId="1" type="noConversion"/>
  </si>
  <si>
    <t>sh@sjtu.edu.cn</t>
    <phoneticPr fontId="1" type="noConversion"/>
  </si>
  <si>
    <t>南京标营</t>
    <phoneticPr fontId="1" type="noConversion"/>
  </si>
  <si>
    <t>png.png</t>
    <phoneticPr fontId="1" type="noConversion"/>
  </si>
  <si>
    <t>宋飞</t>
    <phoneticPr fontId="1" type="noConversion"/>
  </si>
  <si>
    <t>经贸</t>
    <phoneticPr fontId="1" type="noConversion"/>
  </si>
  <si>
    <t>海口美兰</t>
    <phoneticPr fontId="1" type="noConversion"/>
  </si>
  <si>
    <t>ppt.png</t>
    <phoneticPr fontId="1" type="noConversion"/>
  </si>
  <si>
    <t>何可</t>
    <phoneticPr fontId="1" type="noConversion"/>
  </si>
  <si>
    <t>美术</t>
    <phoneticPr fontId="1" type="noConversion"/>
  </si>
  <si>
    <t>东莞麻涌镇</t>
    <phoneticPr fontId="1" type="noConversion"/>
  </si>
  <si>
    <t>tet.png</t>
    <phoneticPr fontId="1" type="noConversion"/>
  </si>
  <si>
    <t>邓青迪</t>
    <phoneticPr fontId="1" type="noConversion"/>
  </si>
  <si>
    <t>体育</t>
    <phoneticPr fontId="1" type="noConversion"/>
  </si>
  <si>
    <t>5419@qq.com</t>
    <phoneticPr fontId="1" type="noConversion"/>
  </si>
  <si>
    <t>厦门集美</t>
    <phoneticPr fontId="1" type="noConversion"/>
  </si>
  <si>
    <t>word.png</t>
    <phoneticPr fontId="1" type="noConversion"/>
  </si>
  <si>
    <t>廖远风</t>
    <phoneticPr fontId="1" type="noConversion"/>
  </si>
  <si>
    <t>董事会</t>
    <phoneticPr fontId="1" type="noConversion"/>
  </si>
  <si>
    <t>深圳罗湖</t>
    <phoneticPr fontId="1" type="noConversion"/>
  </si>
  <si>
    <t>zip.png</t>
    <phoneticPr fontId="1" type="noConversion"/>
  </si>
  <si>
    <t>刘坤</t>
    <phoneticPr fontId="1" type="noConversion"/>
  </si>
  <si>
    <t>csv.png</t>
    <phoneticPr fontId="1" type="noConversion"/>
  </si>
  <si>
    <t>科员</t>
    <phoneticPr fontId="1" type="noConversion"/>
  </si>
  <si>
    <t>实习生</t>
    <phoneticPr fontId="1" type="noConversion"/>
  </si>
  <si>
    <t>播音</t>
    <phoneticPr fontId="1" type="noConversion"/>
  </si>
  <si>
    <t>河南安阳</t>
    <phoneticPr fontId="1" type="noConversion"/>
  </si>
  <si>
    <t>主任</t>
    <phoneticPr fontId="1" type="noConversion"/>
  </si>
  <si>
    <t>副主任</t>
    <phoneticPr fontId="1" type="noConversion"/>
  </si>
  <si>
    <t>1.先根据总分降序排序，再根据语文降序排序</t>
    <phoneticPr fontId="1" type="noConversion"/>
  </si>
  <si>
    <t>2.使用透视表统计语文成绩的分布，结果放在新工作表中，命名为语文成绩分布</t>
    <phoneticPr fontId="1" type="noConversion"/>
  </si>
  <si>
    <t>公司</t>
    <phoneticPr fontId="1" type="noConversion"/>
  </si>
  <si>
    <t>上海</t>
    <phoneticPr fontId="1" type="noConversion"/>
  </si>
  <si>
    <t>广州</t>
    <phoneticPr fontId="1" type="noConversion"/>
  </si>
  <si>
    <t>重庆</t>
    <phoneticPr fontId="1" type="noConversion"/>
  </si>
  <si>
    <t>深圳</t>
    <phoneticPr fontId="1" type="noConversion"/>
  </si>
  <si>
    <t>1.创建数据</t>
    <phoneticPr fontId="1" type="noConversion"/>
  </si>
  <si>
    <t>2.生成柱形图</t>
    <phoneticPr fontId="1" type="noConversion"/>
  </si>
  <si>
    <t>3.生成迷你图</t>
    <phoneticPr fontId="1" type="noConversion"/>
  </si>
  <si>
    <t>4. 前3名高亮显示</t>
  </si>
  <si>
    <t>3. 评语为不及格的单元格红色背景高亮显示</t>
    <phoneticPr fontId="1" type="noConversion"/>
  </si>
  <si>
    <t>1. 两级成绩评定：及格、不及格</t>
    <phoneticPr fontId="1" type="noConversion"/>
  </si>
  <si>
    <t>2. 五级成绩评定：优、良、中、及格、不及格</t>
    <phoneticPr fontId="1" type="noConversion"/>
  </si>
  <si>
    <t>3.使用直方图统计语文成绩的分布</t>
    <phoneticPr fontId="1" type="noConversion"/>
  </si>
  <si>
    <t>调查ID</t>
    <phoneticPr fontId="1" type="noConversion"/>
  </si>
  <si>
    <t>年龄</t>
    <phoneticPr fontId="1" type="noConversion"/>
  </si>
  <si>
    <t>婚姻状况</t>
    <phoneticPr fontId="1" type="noConversion"/>
  </si>
  <si>
    <t>广告印象</t>
    <phoneticPr fontId="1" type="noConversion"/>
  </si>
  <si>
    <t>光顾次数</t>
    <phoneticPr fontId="1" type="noConversion"/>
  </si>
  <si>
    <t>光顾人数</t>
    <phoneticPr fontId="1" type="noConversion"/>
  </si>
  <si>
    <t>消费金额</t>
    <phoneticPr fontId="1" type="noConversion"/>
  </si>
  <si>
    <t>点过套餐</t>
    <phoneticPr fontId="1" type="noConversion"/>
  </si>
  <si>
    <t>点过面类</t>
    <phoneticPr fontId="1" type="noConversion"/>
  </si>
  <si>
    <t>点过盖浇饭</t>
    <phoneticPr fontId="1" type="noConversion"/>
  </si>
  <si>
    <t>点过甜品</t>
    <phoneticPr fontId="1" type="noConversion"/>
  </si>
  <si>
    <t>点过其他小食</t>
    <phoneticPr fontId="1" type="noConversion"/>
  </si>
  <si>
    <t>点过饮料</t>
    <phoneticPr fontId="1" type="noConversion"/>
  </si>
  <si>
    <t>点过酒类</t>
    <phoneticPr fontId="1" type="noConversion"/>
  </si>
  <si>
    <t>3</t>
    <phoneticPr fontId="1" type="noConversion"/>
  </si>
  <si>
    <t>已婚已育</t>
    <phoneticPr fontId="1" type="noConversion"/>
  </si>
  <si>
    <t>无</t>
    <phoneticPr fontId="1" type="noConversion"/>
  </si>
  <si>
    <t>无</t>
  </si>
  <si>
    <t>有</t>
    <phoneticPr fontId="1" type="noConversion"/>
  </si>
  <si>
    <t>4</t>
    <phoneticPr fontId="1" type="noConversion"/>
  </si>
  <si>
    <t>7</t>
    <phoneticPr fontId="1" type="noConversion"/>
  </si>
  <si>
    <t>已婚未育</t>
    <phoneticPr fontId="1" type="noConversion"/>
  </si>
  <si>
    <t>有</t>
  </si>
  <si>
    <t>11</t>
    <phoneticPr fontId="1" type="noConversion"/>
  </si>
  <si>
    <t>13</t>
    <phoneticPr fontId="1" type="noConversion"/>
  </si>
  <si>
    <t>未婚</t>
  </si>
  <si>
    <t>17</t>
    <phoneticPr fontId="1" type="noConversion"/>
  </si>
  <si>
    <t>26</t>
    <phoneticPr fontId="1" type="noConversion"/>
  </si>
  <si>
    <t>未婚</t>
    <phoneticPr fontId="1" type="noConversion"/>
  </si>
  <si>
    <t>28</t>
    <phoneticPr fontId="1" type="noConversion"/>
  </si>
  <si>
    <t>32</t>
    <phoneticPr fontId="1" type="noConversion"/>
  </si>
  <si>
    <t>36</t>
    <phoneticPr fontId="1" type="noConversion"/>
  </si>
  <si>
    <t>45</t>
    <phoneticPr fontId="1" type="noConversion"/>
  </si>
  <si>
    <t>48</t>
    <phoneticPr fontId="1" type="noConversion"/>
  </si>
  <si>
    <t>53</t>
    <phoneticPr fontId="1" type="noConversion"/>
  </si>
  <si>
    <t>56</t>
    <phoneticPr fontId="1" type="noConversion"/>
  </si>
  <si>
    <t>58</t>
    <phoneticPr fontId="1" type="noConversion"/>
  </si>
  <si>
    <t>62</t>
    <phoneticPr fontId="1" type="noConversion"/>
  </si>
  <si>
    <t>63</t>
    <phoneticPr fontId="1" type="noConversion"/>
  </si>
  <si>
    <t>67</t>
    <phoneticPr fontId="1" type="noConversion"/>
  </si>
  <si>
    <t>69</t>
    <phoneticPr fontId="1" type="noConversion"/>
  </si>
  <si>
    <t>71</t>
    <phoneticPr fontId="1" type="noConversion"/>
  </si>
  <si>
    <t>74</t>
    <phoneticPr fontId="1" type="noConversion"/>
  </si>
  <si>
    <t>75</t>
    <phoneticPr fontId="1" type="noConversion"/>
  </si>
  <si>
    <t>78</t>
    <phoneticPr fontId="1" type="noConversion"/>
  </si>
  <si>
    <t>79</t>
    <phoneticPr fontId="1" type="noConversion"/>
  </si>
  <si>
    <t>83</t>
    <phoneticPr fontId="1" type="noConversion"/>
  </si>
  <si>
    <t>86</t>
    <phoneticPr fontId="1" type="noConversion"/>
  </si>
  <si>
    <t>五</t>
    <phoneticPr fontId="1" type="noConversion"/>
  </si>
  <si>
    <t>88</t>
    <phoneticPr fontId="1" type="noConversion"/>
  </si>
  <si>
    <t>93</t>
    <phoneticPr fontId="1" type="noConversion"/>
  </si>
  <si>
    <t>97</t>
    <phoneticPr fontId="1" type="noConversion"/>
  </si>
  <si>
    <t>103</t>
    <phoneticPr fontId="1" type="noConversion"/>
  </si>
  <si>
    <t>105</t>
    <phoneticPr fontId="1" type="noConversion"/>
  </si>
  <si>
    <t>107</t>
    <phoneticPr fontId="1" type="noConversion"/>
  </si>
  <si>
    <t>110</t>
    <phoneticPr fontId="1" type="noConversion"/>
  </si>
  <si>
    <t>121</t>
    <phoneticPr fontId="1" type="noConversion"/>
  </si>
  <si>
    <t>124</t>
    <phoneticPr fontId="1" type="noConversion"/>
  </si>
  <si>
    <t>128</t>
    <phoneticPr fontId="1" type="noConversion"/>
  </si>
  <si>
    <t>134</t>
    <phoneticPr fontId="1" type="noConversion"/>
  </si>
  <si>
    <t>146</t>
    <phoneticPr fontId="1" type="noConversion"/>
  </si>
  <si>
    <t>152</t>
    <phoneticPr fontId="1" type="noConversion"/>
  </si>
  <si>
    <t>167</t>
    <phoneticPr fontId="1" type="noConversion"/>
  </si>
  <si>
    <t>178</t>
    <phoneticPr fontId="1" type="noConversion"/>
  </si>
  <si>
    <t>185</t>
    <phoneticPr fontId="1" type="noConversion"/>
  </si>
  <si>
    <t>190</t>
    <phoneticPr fontId="1" type="noConversion"/>
  </si>
  <si>
    <t>193</t>
    <phoneticPr fontId="1" type="noConversion"/>
  </si>
  <si>
    <t>197</t>
    <phoneticPr fontId="1" type="noConversion"/>
  </si>
  <si>
    <t>201</t>
    <phoneticPr fontId="1" type="noConversion"/>
  </si>
  <si>
    <t>205</t>
    <phoneticPr fontId="1" type="noConversion"/>
  </si>
  <si>
    <t>209</t>
    <phoneticPr fontId="1" type="noConversion"/>
  </si>
  <si>
    <t>213</t>
    <phoneticPr fontId="1" type="noConversion"/>
  </si>
  <si>
    <t>215</t>
    <phoneticPr fontId="1" type="noConversion"/>
  </si>
  <si>
    <t>217</t>
    <phoneticPr fontId="1" type="noConversion"/>
  </si>
  <si>
    <t>218</t>
    <phoneticPr fontId="1" type="noConversion"/>
  </si>
  <si>
    <t>224</t>
    <phoneticPr fontId="1" type="noConversion"/>
  </si>
  <si>
    <t>226</t>
    <phoneticPr fontId="1" type="noConversion"/>
  </si>
  <si>
    <t>227</t>
    <phoneticPr fontId="1" type="noConversion"/>
  </si>
  <si>
    <t>230</t>
    <phoneticPr fontId="1" type="noConversion"/>
  </si>
  <si>
    <t>231</t>
    <phoneticPr fontId="1" type="noConversion"/>
  </si>
  <si>
    <t>235</t>
    <phoneticPr fontId="1" type="noConversion"/>
  </si>
  <si>
    <t>240</t>
    <phoneticPr fontId="1" type="noConversion"/>
  </si>
  <si>
    <t>出生日期</t>
    <phoneticPr fontId="1" type="noConversion"/>
  </si>
  <si>
    <t>赵敏</t>
  </si>
  <si>
    <t>副教授</t>
  </si>
  <si>
    <t>孙强</t>
  </si>
  <si>
    <t>周涛</t>
  </si>
  <si>
    <t>讲师</t>
  </si>
  <si>
    <t>郑凯</t>
  </si>
  <si>
    <t>助教</t>
  </si>
  <si>
    <t>刘洋</t>
  </si>
  <si>
    <t>杨柳</t>
  </si>
  <si>
    <t>陈晨</t>
  </si>
  <si>
    <t>张悦</t>
  </si>
  <si>
    <t>王博</t>
  </si>
  <si>
    <t>李娜</t>
  </si>
  <si>
    <t>赵刚</t>
  </si>
  <si>
    <t>孙莉</t>
  </si>
  <si>
    <t>周鹏</t>
  </si>
  <si>
    <t>吴敏</t>
  </si>
  <si>
    <t>年份</t>
  </si>
  <si>
    <t>销售金额</t>
  </si>
  <si>
    <t>利润率</t>
  </si>
  <si>
    <t>12@34</t>
    <phoneticPr fontId="1" type="noConversion"/>
  </si>
  <si>
    <t>23@asdf</t>
    <phoneticPr fontId="1" type="noConversion"/>
  </si>
  <si>
    <t>wert@123</t>
    <phoneticPr fontId="1" type="noConversion"/>
  </si>
  <si>
    <t>wert</t>
  </si>
  <si>
    <t>asdf</t>
  </si>
  <si>
    <t>身份证</t>
    <phoneticPr fontId="1" type="noConversion"/>
  </si>
  <si>
    <t>44010620080512342X</t>
  </si>
  <si>
    <t>450103200703211245</t>
  </si>
  <si>
    <t>440305200811056789</t>
  </si>
  <si>
    <t>450302200607142316</t>
  </si>
  <si>
    <t>440604200902285678</t>
  </si>
  <si>
    <t>441900200908161234</t>
  </si>
  <si>
    <t>450204200804059876</t>
  </si>
  <si>
    <t>440802200912124321</t>
  </si>
  <si>
    <t>451002200906011112</t>
  </si>
  <si>
    <t>440902200809098888</t>
  </si>
  <si>
    <t>440402200601157777</t>
  </si>
  <si>
    <t>450902200910206666</t>
  </si>
  <si>
    <t>442000200803185555</t>
  </si>
  <si>
    <t>450702200905254444</t>
  </si>
  <si>
    <t>440703200907073333</t>
  </si>
  <si>
    <t>441302200711112222</t>
  </si>
  <si>
    <t>450403200608081111</t>
  </si>
  <si>
    <t>性别</t>
    <phoneticPr fontId="1" type="noConversion"/>
  </si>
  <si>
    <t>职工姓名</t>
  </si>
  <si>
    <t>人员类别</t>
  </si>
  <si>
    <t>职称</t>
  </si>
  <si>
    <t>岗位津贴</t>
  </si>
  <si>
    <t>水电费</t>
  </si>
  <si>
    <t>专职</t>
  </si>
  <si>
    <t>传媒学院</t>
  </si>
  <si>
    <t>兼职</t>
  </si>
  <si>
    <t>播音主持</t>
  </si>
  <si>
    <t>李洪文</t>
  </si>
  <si>
    <t>吴芳芳</t>
  </si>
  <si>
    <t>王丽丽</t>
  </si>
  <si>
    <t>冯杰</t>
  </si>
  <si>
    <t>陈静</t>
  </si>
  <si>
    <t>褚勇强</t>
  </si>
  <si>
    <t>林霞</t>
  </si>
  <si>
    <t>订单编号</t>
  </si>
  <si>
    <t>单价</t>
  </si>
  <si>
    <t>数量</t>
  </si>
  <si>
    <t>门店</t>
  </si>
  <si>
    <t>SN0002</t>
  </si>
  <si>
    <t>广州店</t>
  </si>
  <si>
    <t>香蕉</t>
  </si>
  <si>
    <t>SN0003</t>
  </si>
  <si>
    <t>黄瓜</t>
  </si>
  <si>
    <t>SN0004</t>
  </si>
  <si>
    <t>酸奶</t>
  </si>
  <si>
    <t>SN0005</t>
  </si>
  <si>
    <t>北京店</t>
  </si>
  <si>
    <t>SN0006</t>
  </si>
  <si>
    <t>番茄</t>
  </si>
  <si>
    <t>SN0007</t>
  </si>
  <si>
    <t>SN0008</t>
  </si>
  <si>
    <t>上海店</t>
  </si>
  <si>
    <t>SN0009</t>
  </si>
  <si>
    <t>SN0010</t>
  </si>
  <si>
    <t>SN0011</t>
  </si>
  <si>
    <t>深圳店</t>
  </si>
  <si>
    <t>SN0012</t>
  </si>
  <si>
    <t>SN0013</t>
  </si>
  <si>
    <t>SN0014</t>
  </si>
  <si>
    <t>SN0015</t>
  </si>
  <si>
    <t>SN0016</t>
  </si>
  <si>
    <t>SN0017</t>
  </si>
  <si>
    <t>SN0018</t>
  </si>
  <si>
    <t>SN0019</t>
  </si>
  <si>
    <t>SN0020</t>
  </si>
  <si>
    <t>SN0021</t>
  </si>
  <si>
    <t>SN0022</t>
  </si>
  <si>
    <t>SN0023</t>
  </si>
  <si>
    <t>SN0024</t>
  </si>
  <si>
    <t>SN0025</t>
  </si>
  <si>
    <t>SN0026</t>
  </si>
  <si>
    <t>SN0027</t>
  </si>
  <si>
    <t>SN0028</t>
  </si>
  <si>
    <t>SN0029</t>
  </si>
  <si>
    <t>SN0030</t>
  </si>
  <si>
    <t>SN0031</t>
  </si>
  <si>
    <t>广州店</t>
    <phoneticPr fontId="1" type="noConversion"/>
  </si>
  <si>
    <t>北京店</t>
    <phoneticPr fontId="1" type="noConversion"/>
  </si>
  <si>
    <t>上海店</t>
    <phoneticPr fontId="1" type="noConversion"/>
  </si>
  <si>
    <t>深圳店</t>
    <phoneticPr fontId="1" type="noConversion"/>
  </si>
  <si>
    <t>2019年度</t>
    <phoneticPr fontId="1" type="noConversion"/>
  </si>
  <si>
    <t>2020年度</t>
    <phoneticPr fontId="1" type="noConversion"/>
  </si>
  <si>
    <t>2021年度</t>
    <phoneticPr fontId="1" type="noConversion"/>
  </si>
  <si>
    <t>2022年度</t>
    <phoneticPr fontId="1" type="noConversion"/>
  </si>
  <si>
    <t>2023年度</t>
    <phoneticPr fontId="1" type="noConversion"/>
  </si>
  <si>
    <t>2024年度</t>
    <phoneticPr fontId="1" type="noConversion"/>
  </si>
  <si>
    <t>2025年度</t>
    <phoneticPr fontId="1" type="noConversion"/>
  </si>
  <si>
    <t>黄瓜销售额</t>
    <phoneticPr fontId="1" type="noConversion"/>
  </si>
  <si>
    <t>总人数</t>
  </si>
  <si>
    <t>平均成绩</t>
  </si>
  <si>
    <t>及格率%</t>
  </si>
  <si>
    <t>不及格率%</t>
  </si>
  <si>
    <t>总分最高分</t>
  </si>
  <si>
    <t>总分最低分</t>
  </si>
  <si>
    <t>总分[60+]人数</t>
  </si>
  <si>
    <t>总分[90+]人数</t>
  </si>
  <si>
    <t>总分[80-90]人数</t>
  </si>
  <si>
    <t>5. 百分比、平均值保留小数点后1位，其它数字为整数</t>
    <phoneticPr fontId="1" type="noConversion"/>
  </si>
  <si>
    <t>筛选实际收入小于8000的教授，结果放在B35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</si>
</sst>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 [$¥-804]* #,##0.00_ ;_ [$¥-804]* \-#,##0.00_ ;_ [$¥-804]* &quot;-&quot;??_ ;_ @_ "/>
    <numFmt numFmtId="177" formatCode="0.0"/>
  </numFmts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2"/>
      <color rgb="FF222222"/>
      <name val="Segoe UI"/>
      <family val="2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b/>
      <sz val="8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0" fontId="4" fillId="0" borderId="0" xfId="1" applyFont="1">
      <alignment vertical="center"/>
    </xf>
    <xf numFmtId="49" fontId="3" fillId="0" borderId="0" xfId="0" applyNumberFormat="1" applyFont="1">
      <alignment vertical="center"/>
    </xf>
    <xf numFmtId="1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76" fontId="0" fillId="0" borderId="0" xfId="0" applyNumberFormat="1">
      <alignment vertical="center"/>
    </xf>
    <xf numFmtId="0" fontId="2" fillId="0" borderId="0" xfId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49" fontId="7" fillId="0" borderId="0" xfId="0" applyNumberFormat="1" applyFont="1">
      <alignment vertical="center"/>
    </xf>
    <xf numFmtId="177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7" fillId="0" borderId="1" xfId="0" applyFont="1" applyBorder="1">
      <alignment vertical="center"/>
    </xf>
    <xf numFmtId="0" fontId="9" fillId="0" borderId="0" xfId="0" applyFont="1">
      <alignment vertical="center"/>
    </xf>
    <xf numFmtId="14" fontId="9" fillId="0" borderId="0" xfId="0" applyNumberFormat="1" applyFont="1">
      <alignment vertical="center"/>
    </xf>
    <xf numFmtId="0" fontId="5" fillId="0" borderId="0" xfId="0" applyFont="1">
      <alignment vertical="center"/>
    </xf>
    <xf numFmtId="14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销售利润和金额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0492030492030493E-2"/>
          <c:y val="0.19143383206023515"/>
          <c:w val="0.93901593901593905"/>
          <c:h val="0.6120763413507508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销售利润!$B$1</c:f>
              <c:strCache>
                <c:ptCount val="1"/>
                <c:pt idx="0">
                  <c:v>销售金额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\.0,&quot;万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销售利润!$A$2:$A$7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销售利润!$B$2:$B$7</c:f>
              <c:numCache>
                <c:formatCode>General</c:formatCode>
                <c:ptCount val="6"/>
                <c:pt idx="0">
                  <c:v>153000</c:v>
                </c:pt>
                <c:pt idx="1">
                  <c:v>213000</c:v>
                </c:pt>
                <c:pt idx="2">
                  <c:v>254000</c:v>
                </c:pt>
                <c:pt idx="3">
                  <c:v>374000</c:v>
                </c:pt>
                <c:pt idx="4">
                  <c:v>523000</c:v>
                </c:pt>
                <c:pt idx="5">
                  <c:v>622000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A1-4BE9-958D-9ACED3E02E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808160"/>
        <c:axId val="31805280"/>
      </c:barChart>
      <c:lineChart>
        <c:grouping val="standard"/>
        <c:varyColors val="0"/>
        <c:ser>
          <c:idx val="2"/>
          <c:order val="1"/>
          <c:tx>
            <c:strRef>
              <c:f>销售利润!$C$1</c:f>
              <c:strCache>
                <c:ptCount val="1"/>
                <c:pt idx="0">
                  <c:v>利润率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triangle"/>
            <c:size val="5"/>
            <c:spPr>
              <a:solidFill>
                <a:schemeClr val="bg1"/>
              </a:solidFill>
              <a:ln w="9525">
                <a:solidFill>
                  <a:schemeClr val="accent6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销售利润!$A$2:$A$7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销售利润!$C$2:$C$7</c:f>
              <c:numCache>
                <c:formatCode>0.00%</c:formatCode>
                <c:ptCount val="6"/>
                <c:pt idx="0">
                  <c:v>0.26650000000000001</c:v>
                </c:pt>
                <c:pt idx="1">
                  <c:v>0.3614</c:v>
                </c:pt>
                <c:pt idx="2">
                  <c:v>0.33119999999999999</c:v>
                </c:pt>
                <c:pt idx="3">
                  <c:v>0.42280000000000001</c:v>
                </c:pt>
                <c:pt idx="4">
                  <c:v>0.38140000000000002</c:v>
                </c:pt>
                <c:pt idx="5">
                  <c:v>0.43859999999999999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A1-4BE9-958D-9ACED3E02E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892160"/>
        <c:axId val="31887840"/>
      </c:lineChart>
      <c:catAx>
        <c:axId val="3180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805280"/>
        <c:crosses val="autoZero"/>
        <c:auto val="1"/>
        <c:lblAlgn val="ctr"/>
        <c:lblOffset val="100"/>
        <c:noMultiLvlLbl val="0"/>
      </c:catAx>
      <c:valAx>
        <c:axId val="31805280"/>
        <c:scaling>
          <c:orientation val="minMax"/>
          <c:max val="1000000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808160"/>
        <c:crosses val="autoZero"/>
        <c:crossBetween val="between"/>
      </c:valAx>
      <c:valAx>
        <c:axId val="3188784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892160"/>
        <c:crosses val="max"/>
        <c:crossBetween val="between"/>
      </c:valAx>
      <c:catAx>
        <c:axId val="31892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887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531358</xdr:colOff>
      <xdr:row>3</xdr:row>
      <xdr:rowOff>2722</xdr:rowOff>
    </xdr:from>
    <xdr:to>
      <xdr:col>12</xdr:col>
      <xdr:colOff>234723</xdr:colOff>
      <xdr:row>18</xdr:row>
      <xdr:rowOff>31297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C7108C4-C99F-249C-1FF9-9CD92436E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5419@qq.com" TargetMode="External"/><Relationship Id="rId2" Type="http://schemas.openxmlformats.org/officeDocument/2006/relationships/hyperlink" Target="mailto:boy@hotmail.com" TargetMode="External"/><Relationship Id="rId1" Type="http://schemas.openxmlformats.org/officeDocument/2006/relationships/hyperlink" Target="mailto:gl@gmail.com" TargetMode="External"/><Relationship Id="rId6" Type="http://schemas.openxmlformats.org/officeDocument/2006/relationships/hyperlink" Target="mailto:sh@sjtu.edu.cn" TargetMode="External"/><Relationship Id="rId5" Type="http://schemas.openxmlformats.org/officeDocument/2006/relationships/hyperlink" Target="mailto:gz@163.com" TargetMode="External"/><Relationship Id="rId4" Type="http://schemas.openxmlformats.org/officeDocument/2006/relationships/hyperlink" Target="mailto:sh@126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12@34" TargetMode="External"/><Relationship Id="rId2" Type="http://schemas.openxmlformats.org/officeDocument/2006/relationships/hyperlink" Target="mailto:23@asdf" TargetMode="External"/><Relationship Id="rId1" Type="http://schemas.openxmlformats.org/officeDocument/2006/relationships/hyperlink" Target="mailto:wert@123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264B-37CF-4588-BABA-D287C3F68938}">
  <dimension ref="A1:L11"/>
  <sheetViews>
    <sheetView tabSelected="1" workbookViewId="0">
      <selection activeCell="B12" sqref="B12"/>
    </sheetView>
  </sheetViews>
  <sheetFormatPr defaultRowHeight="14.25" x14ac:dyDescent="0.2"/>
  <cols>
    <col min="1" max="1" width="5.25" style="1" bestFit="1" customWidth="1"/>
    <col min="2" max="2" width="7.125" style="1" bestFit="1" customWidth="1"/>
    <col min="3" max="3" width="5.25" style="1" bestFit="1" customWidth="1"/>
    <col min="4" max="4" width="10" style="1" bestFit="1" customWidth="1"/>
    <col min="5" max="5" width="17.25" style="1" bestFit="1" customWidth="1"/>
    <col min="6" max="6" width="9" style="1"/>
    <col min="7" max="7" width="7.125" style="1" bestFit="1" customWidth="1"/>
    <col min="8" max="8" width="23.5" style="1" bestFit="1" customWidth="1"/>
    <col min="9" max="9" width="5.25" style="1" bestFit="1" customWidth="1"/>
    <col min="10" max="10" width="9" style="1"/>
    <col min="11" max="11" width="11" style="1" bestFit="1" customWidth="1"/>
    <col min="12" max="12" width="9.375" style="1" bestFit="1" customWidth="1"/>
    <col min="13" max="16384" width="9" style="1"/>
  </cols>
  <sheetData>
    <row r="1" spans="1:12" x14ac:dyDescent="0.2">
      <c r="A1" s="1" t="s">
        <v>110</v>
      </c>
      <c r="B1" s="1" t="s">
        <v>1</v>
      </c>
      <c r="C1" s="1" t="s">
        <v>102</v>
      </c>
      <c r="D1" s="1" t="s">
        <v>115</v>
      </c>
      <c r="E1" s="1" t="s">
        <v>113</v>
      </c>
      <c r="F1" s="1" t="s">
        <v>101</v>
      </c>
      <c r="G1" s="1" t="s">
        <v>111</v>
      </c>
      <c r="H1" s="1" t="s">
        <v>100</v>
      </c>
      <c r="I1" s="1" t="s">
        <v>112</v>
      </c>
      <c r="J1" s="1" t="s">
        <v>103</v>
      </c>
      <c r="K1" s="1" t="s">
        <v>114</v>
      </c>
      <c r="L1" s="1" t="s">
        <v>116</v>
      </c>
    </row>
    <row r="2" spans="1:12" x14ac:dyDescent="0.2">
      <c r="A2" s="1">
        <v>1</v>
      </c>
      <c r="B2" s="1" t="s">
        <v>117</v>
      </c>
      <c r="C2" s="1" t="s">
        <v>105</v>
      </c>
      <c r="D2" s="2">
        <v>31048</v>
      </c>
      <c r="E2" s="3" t="s">
        <v>119</v>
      </c>
      <c r="F2" s="1" t="s">
        <v>165</v>
      </c>
      <c r="G2" s="1" t="s">
        <v>118</v>
      </c>
      <c r="H2" s="1" t="s">
        <v>104</v>
      </c>
      <c r="I2" s="1">
        <v>65</v>
      </c>
      <c r="K2" s="1" t="s">
        <v>120</v>
      </c>
      <c r="L2" s="1" t="s">
        <v>121</v>
      </c>
    </row>
    <row r="3" spans="1:12" x14ac:dyDescent="0.2">
      <c r="A3" s="1">
        <v>2</v>
      </c>
      <c r="B3" s="1" t="s">
        <v>122</v>
      </c>
      <c r="C3" s="1" t="s">
        <v>105</v>
      </c>
      <c r="D3" s="2">
        <v>29254</v>
      </c>
      <c r="E3" s="3" t="s">
        <v>124</v>
      </c>
      <c r="F3" s="1" t="s">
        <v>165</v>
      </c>
      <c r="G3" s="1" t="s">
        <v>123</v>
      </c>
      <c r="H3" s="1" t="s">
        <v>106</v>
      </c>
      <c r="I3" s="1">
        <v>60</v>
      </c>
      <c r="K3" s="1" t="s">
        <v>164</v>
      </c>
      <c r="L3" s="1" t="s">
        <v>126</v>
      </c>
    </row>
    <row r="4" spans="1:12" x14ac:dyDescent="0.2">
      <c r="A4" s="1">
        <v>3</v>
      </c>
      <c r="B4" s="1" t="s">
        <v>127</v>
      </c>
      <c r="C4" s="1" t="s">
        <v>105</v>
      </c>
      <c r="D4" s="2">
        <v>32183</v>
      </c>
      <c r="E4" s="3" t="s">
        <v>129</v>
      </c>
      <c r="F4" s="1" t="s">
        <v>166</v>
      </c>
      <c r="G4" s="1" t="s">
        <v>128</v>
      </c>
      <c r="H4" s="1" t="s">
        <v>107</v>
      </c>
      <c r="I4" s="1">
        <v>55</v>
      </c>
      <c r="K4" s="1" t="s">
        <v>130</v>
      </c>
      <c r="L4" s="1" t="s">
        <v>131</v>
      </c>
    </row>
    <row r="5" spans="1:12" x14ac:dyDescent="0.2">
      <c r="A5" s="1">
        <v>4</v>
      </c>
      <c r="B5" s="1" t="s">
        <v>132</v>
      </c>
      <c r="C5" s="1" t="s">
        <v>105</v>
      </c>
      <c r="D5" s="2">
        <v>33107</v>
      </c>
      <c r="E5" s="3" t="s">
        <v>134</v>
      </c>
      <c r="F5" s="1" t="s">
        <v>165</v>
      </c>
      <c r="G5" s="1" t="s">
        <v>133</v>
      </c>
      <c r="H5" s="1" t="s">
        <v>109</v>
      </c>
      <c r="I5" s="1">
        <v>90</v>
      </c>
      <c r="K5" s="1" t="s">
        <v>135</v>
      </c>
      <c r="L5" s="1" t="s">
        <v>136</v>
      </c>
    </row>
    <row r="6" spans="1:12" x14ac:dyDescent="0.2">
      <c r="A6" s="1">
        <v>5</v>
      </c>
      <c r="B6" s="1" t="s">
        <v>137</v>
      </c>
      <c r="C6" s="1" t="s">
        <v>105</v>
      </c>
      <c r="D6" s="2">
        <v>33859</v>
      </c>
      <c r="E6" s="3" t="s">
        <v>139</v>
      </c>
      <c r="F6" s="1" t="s">
        <v>161</v>
      </c>
      <c r="G6" s="1" t="s">
        <v>138</v>
      </c>
      <c r="I6" s="1">
        <v>76</v>
      </c>
      <c r="K6" s="1" t="s">
        <v>140</v>
      </c>
      <c r="L6" s="1" t="s">
        <v>141</v>
      </c>
    </row>
    <row r="7" spans="1:12" x14ac:dyDescent="0.2">
      <c r="A7" s="1">
        <v>6</v>
      </c>
      <c r="B7" s="1" t="s">
        <v>142</v>
      </c>
      <c r="C7" s="1" t="s">
        <v>108</v>
      </c>
      <c r="D7" s="2">
        <v>32051</v>
      </c>
      <c r="E7" s="3"/>
      <c r="F7" s="1" t="s">
        <v>166</v>
      </c>
      <c r="G7" s="1" t="s">
        <v>143</v>
      </c>
      <c r="I7" s="1">
        <v>70</v>
      </c>
      <c r="K7" s="1" t="s">
        <v>144</v>
      </c>
      <c r="L7" s="1" t="s">
        <v>145</v>
      </c>
    </row>
    <row r="8" spans="1:12" x14ac:dyDescent="0.2">
      <c r="A8" s="1">
        <v>7</v>
      </c>
      <c r="B8" s="1" t="s">
        <v>146</v>
      </c>
      <c r="C8" s="1" t="s">
        <v>108</v>
      </c>
      <c r="D8" s="2">
        <v>34823</v>
      </c>
      <c r="F8" s="1" t="s">
        <v>161</v>
      </c>
      <c r="G8" s="1" t="s">
        <v>147</v>
      </c>
      <c r="I8" s="1">
        <v>74</v>
      </c>
      <c r="K8" s="1" t="s">
        <v>148</v>
      </c>
      <c r="L8" s="1" t="s">
        <v>149</v>
      </c>
    </row>
    <row r="9" spans="1:12" x14ac:dyDescent="0.2">
      <c r="A9" s="1">
        <v>8</v>
      </c>
      <c r="B9" s="1" t="s">
        <v>150</v>
      </c>
      <c r="C9" s="1" t="s">
        <v>108</v>
      </c>
      <c r="D9" s="2">
        <v>34121</v>
      </c>
      <c r="E9" s="3" t="s">
        <v>152</v>
      </c>
      <c r="F9" s="1" t="s">
        <v>162</v>
      </c>
      <c r="G9" s="1" t="s">
        <v>151</v>
      </c>
      <c r="I9" s="1">
        <v>85</v>
      </c>
      <c r="K9" s="1" t="s">
        <v>153</v>
      </c>
      <c r="L9" s="1" t="s">
        <v>154</v>
      </c>
    </row>
    <row r="10" spans="1:12" x14ac:dyDescent="0.2">
      <c r="A10" s="1">
        <v>9</v>
      </c>
      <c r="B10" s="1" t="s">
        <v>155</v>
      </c>
      <c r="C10" s="1" t="s">
        <v>108</v>
      </c>
      <c r="D10" s="2">
        <v>35278</v>
      </c>
      <c r="F10" s="1" t="s">
        <v>161</v>
      </c>
      <c r="G10" s="1" t="s">
        <v>156</v>
      </c>
      <c r="I10" s="1">
        <v>60</v>
      </c>
      <c r="K10" s="1" t="s">
        <v>157</v>
      </c>
      <c r="L10" s="1" t="s">
        <v>158</v>
      </c>
    </row>
    <row r="11" spans="1:12" x14ac:dyDescent="0.2">
      <c r="A11" s="1">
        <v>10</v>
      </c>
      <c r="B11" s="1" t="s">
        <v>159</v>
      </c>
      <c r="C11" s="1" t="s">
        <v>105</v>
      </c>
      <c r="D11" s="2">
        <v>34881</v>
      </c>
      <c r="F11" s="1" t="s">
        <v>162</v>
      </c>
      <c r="G11" s="1" t="s">
        <v>163</v>
      </c>
      <c r="I11" s="1">
        <v>100</v>
      </c>
      <c r="K11" s="1" t="s">
        <v>125</v>
      </c>
      <c r="L11" s="1" t="s">
        <v>160</v>
      </c>
    </row>
  </sheetData>
  <phoneticPr fontId="1" type="noConversion"/>
  <hyperlinks>
    <hyperlink ref="E2" r:id="rId1" xr:uid="{4D006D4C-E7AC-465D-88CE-6419D3A31F26}"/>
    <hyperlink ref="E3" r:id="rId2" xr:uid="{FCBD556A-1012-4C88-9664-21AB09EFD3C1}"/>
    <hyperlink ref="E9" r:id="rId3" xr:uid="{E6C1FAE3-E513-4C7D-B872-C404DBEB762B}"/>
    <hyperlink ref="E4" r:id="rId4" display="sh@126.com" xr:uid="{AF108134-1839-43F5-B713-FCB8E3BF252A}"/>
    <hyperlink ref="E5" r:id="rId5" xr:uid="{98FC116D-482D-4D74-AE4C-823AA91DB6A4}"/>
    <hyperlink ref="E6" r:id="rId6" xr:uid="{06C1355B-EBF0-4459-88AF-BAA2AEB2F8A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7399F-CC12-4ABD-9F7C-F6EE52160CF4}">
  <dimension ref="A1:P33"/>
  <sheetViews>
    <sheetView zoomScale="130" zoomScaleNormal="130" workbookViewId="0">
      <selection activeCell="J11" sqref="J11"/>
    </sheetView>
  </sheetViews>
  <sheetFormatPr defaultRowHeight="11.25" x14ac:dyDescent="0.2"/>
  <cols>
    <col min="1" max="2" width="8.625" style="15" customWidth="1"/>
    <col min="3" max="3" width="16.625" style="15" customWidth="1"/>
    <col min="4" max="4" width="11.625" style="15" bestFit="1" customWidth="1"/>
    <col min="5" max="5" width="8.625" style="15" customWidth="1"/>
    <col min="6" max="13" width="10.625" style="15" customWidth="1"/>
    <col min="14" max="15" width="9" style="15"/>
    <col min="16" max="16" width="30.875" style="15" bestFit="1" customWidth="1"/>
    <col min="17" max="17" width="7.5" style="15" bestFit="1" customWidth="1"/>
    <col min="18" max="19" width="9" style="15"/>
    <col min="20" max="20" width="7.5" style="15" bestFit="1" customWidth="1"/>
    <col min="21" max="16384" width="9" style="15"/>
  </cols>
  <sheetData>
    <row r="1" spans="1:13" x14ac:dyDescent="0.2">
      <c r="A1" s="15" t="s">
        <v>0</v>
      </c>
      <c r="B1" s="15" t="s">
        <v>1</v>
      </c>
      <c r="C1" s="15" t="s">
        <v>290</v>
      </c>
      <c r="D1" s="15" t="s">
        <v>308</v>
      </c>
      <c r="E1" s="15" t="s">
        <v>183</v>
      </c>
      <c r="F1" s="15" t="s">
        <v>2</v>
      </c>
      <c r="G1" s="15" t="s">
        <v>3</v>
      </c>
      <c r="H1" s="15" t="s">
        <v>5</v>
      </c>
      <c r="I1" s="15" t="s">
        <v>6</v>
      </c>
      <c r="J1" s="15" t="s">
        <v>4</v>
      </c>
      <c r="K1" s="15" t="s">
        <v>8</v>
      </c>
      <c r="L1" s="15" t="s">
        <v>7</v>
      </c>
      <c r="M1" s="15" t="s">
        <v>9</v>
      </c>
    </row>
    <row r="2" spans="1:13" x14ac:dyDescent="0.2">
      <c r="A2" s="15" t="s">
        <v>58</v>
      </c>
      <c r="B2" s="15" t="s">
        <v>41</v>
      </c>
      <c r="C2" s="16" t="s">
        <v>291</v>
      </c>
      <c r="D2" s="16"/>
      <c r="F2" s="15">
        <v>50</v>
      </c>
      <c r="G2" s="15">
        <v>50</v>
      </c>
      <c r="H2" s="15">
        <v>50</v>
      </c>
      <c r="I2" s="15">
        <f t="shared" ref="I2:I18" si="0">SUM(F2:H2)</f>
        <v>150</v>
      </c>
      <c r="J2" s="17">
        <f>AVERAGE(F2:H2)</f>
        <v>50</v>
      </c>
    </row>
    <row r="3" spans="1:13" x14ac:dyDescent="0.2">
      <c r="A3" s="15" t="s">
        <v>59</v>
      </c>
      <c r="B3" s="15" t="s">
        <v>42</v>
      </c>
      <c r="C3" s="16" t="s">
        <v>292</v>
      </c>
      <c r="D3" s="16"/>
      <c r="F3" s="15">
        <v>79</v>
      </c>
      <c r="G3" s="15">
        <v>68</v>
      </c>
      <c r="H3" s="15">
        <v>85</v>
      </c>
      <c r="I3" s="15">
        <f t="shared" si="0"/>
        <v>232</v>
      </c>
      <c r="J3" s="17">
        <f t="shared" ref="J3:J18" si="1">AVERAGE(F3:H3)</f>
        <v>77.333333333333329</v>
      </c>
    </row>
    <row r="4" spans="1:13" x14ac:dyDescent="0.2">
      <c r="A4" s="15" t="s">
        <v>60</v>
      </c>
      <c r="B4" s="15" t="s">
        <v>43</v>
      </c>
      <c r="C4" s="16" t="s">
        <v>293</v>
      </c>
      <c r="D4" s="16"/>
      <c r="F4" s="15">
        <v>89</v>
      </c>
      <c r="G4" s="15">
        <v>78</v>
      </c>
      <c r="H4" s="15">
        <v>60</v>
      </c>
      <c r="I4" s="15">
        <f t="shared" si="0"/>
        <v>227</v>
      </c>
      <c r="J4" s="17">
        <f t="shared" si="1"/>
        <v>75.666666666666671</v>
      </c>
    </row>
    <row r="5" spans="1:13" x14ac:dyDescent="0.2">
      <c r="A5" s="15" t="s">
        <v>61</v>
      </c>
      <c r="B5" s="15" t="s">
        <v>44</v>
      </c>
      <c r="C5" s="16" t="s">
        <v>294</v>
      </c>
      <c r="D5" s="16"/>
      <c r="F5" s="15">
        <v>88</v>
      </c>
      <c r="G5" s="15">
        <v>84</v>
      </c>
      <c r="H5" s="15">
        <v>90</v>
      </c>
      <c r="I5" s="15">
        <f t="shared" si="0"/>
        <v>262</v>
      </c>
      <c r="J5" s="17">
        <f t="shared" si="1"/>
        <v>87.333333333333329</v>
      </c>
    </row>
    <row r="6" spans="1:13" x14ac:dyDescent="0.2">
      <c r="A6" s="15" t="s">
        <v>62</v>
      </c>
      <c r="B6" s="15" t="s">
        <v>45</v>
      </c>
      <c r="C6" s="16" t="s">
        <v>295</v>
      </c>
      <c r="D6" s="16"/>
      <c r="F6" s="15">
        <v>62</v>
      </c>
      <c r="G6" s="15">
        <v>68</v>
      </c>
      <c r="H6" s="15">
        <v>88</v>
      </c>
      <c r="I6" s="15">
        <f t="shared" si="0"/>
        <v>218</v>
      </c>
      <c r="J6" s="17">
        <f t="shared" si="1"/>
        <v>72.666666666666671</v>
      </c>
    </row>
    <row r="7" spans="1:13" x14ac:dyDescent="0.2">
      <c r="A7" s="15" t="s">
        <v>63</v>
      </c>
      <c r="B7" s="15" t="s">
        <v>46</v>
      </c>
      <c r="C7" s="16" t="s">
        <v>296</v>
      </c>
      <c r="D7" s="16"/>
      <c r="F7" s="15">
        <v>74</v>
      </c>
      <c r="G7" s="15">
        <v>77</v>
      </c>
      <c r="H7" s="15">
        <v>100</v>
      </c>
      <c r="I7" s="15">
        <f t="shared" si="0"/>
        <v>251</v>
      </c>
      <c r="J7" s="17">
        <f t="shared" si="1"/>
        <v>83.666666666666671</v>
      </c>
    </row>
    <row r="8" spans="1:13" x14ac:dyDescent="0.2">
      <c r="A8" s="15" t="s">
        <v>64</v>
      </c>
      <c r="B8" s="15" t="s">
        <v>47</v>
      </c>
      <c r="C8" s="16" t="s">
        <v>297</v>
      </c>
      <c r="D8" s="16"/>
      <c r="F8" s="15">
        <v>98</v>
      </c>
      <c r="G8" s="15">
        <v>71</v>
      </c>
      <c r="H8" s="15">
        <v>99</v>
      </c>
      <c r="I8" s="15">
        <f t="shared" si="0"/>
        <v>268</v>
      </c>
      <c r="J8" s="17">
        <f t="shared" si="1"/>
        <v>89.333333333333329</v>
      </c>
    </row>
    <row r="9" spans="1:13" x14ac:dyDescent="0.2">
      <c r="A9" s="15" t="s">
        <v>65</v>
      </c>
      <c r="B9" s="15" t="s">
        <v>48</v>
      </c>
      <c r="C9" s="16" t="s">
        <v>298</v>
      </c>
      <c r="D9" s="16"/>
      <c r="F9" s="15">
        <v>67</v>
      </c>
      <c r="G9" s="15">
        <v>93</v>
      </c>
      <c r="H9" s="15">
        <v>91</v>
      </c>
      <c r="I9" s="15">
        <f t="shared" si="0"/>
        <v>251</v>
      </c>
      <c r="J9" s="17">
        <f t="shared" si="1"/>
        <v>83.666666666666671</v>
      </c>
    </row>
    <row r="10" spans="1:13" x14ac:dyDescent="0.2">
      <c r="A10" s="15" t="s">
        <v>66</v>
      </c>
      <c r="B10" s="15" t="s">
        <v>49</v>
      </c>
      <c r="C10" s="16" t="s">
        <v>299</v>
      </c>
      <c r="D10" s="16"/>
      <c r="F10" s="15">
        <v>81</v>
      </c>
      <c r="G10" s="15">
        <v>72</v>
      </c>
      <c r="H10" s="15">
        <v>77</v>
      </c>
      <c r="I10" s="15">
        <f t="shared" si="0"/>
        <v>230</v>
      </c>
      <c r="J10" s="17">
        <f t="shared" si="1"/>
        <v>76.666666666666671</v>
      </c>
    </row>
    <row r="11" spans="1:13" x14ac:dyDescent="0.2">
      <c r="A11" s="15" t="s">
        <v>67</v>
      </c>
      <c r="B11" s="15" t="s">
        <v>50</v>
      </c>
      <c r="C11" s="16" t="s">
        <v>300</v>
      </c>
      <c r="D11" s="16"/>
      <c r="F11" s="15">
        <v>87</v>
      </c>
      <c r="G11" s="15">
        <v>76</v>
      </c>
      <c r="H11" s="15">
        <v>89</v>
      </c>
      <c r="I11" s="15">
        <f t="shared" si="0"/>
        <v>252</v>
      </c>
      <c r="J11" s="17">
        <f t="shared" si="1"/>
        <v>84</v>
      </c>
    </row>
    <row r="12" spans="1:13" x14ac:dyDescent="0.2">
      <c r="A12" s="15" t="s">
        <v>68</v>
      </c>
      <c r="B12" s="15" t="s">
        <v>51</v>
      </c>
      <c r="C12" s="16" t="s">
        <v>301</v>
      </c>
      <c r="D12" s="16"/>
      <c r="F12" s="15">
        <v>78</v>
      </c>
      <c r="G12" s="15">
        <v>62</v>
      </c>
      <c r="H12" s="15">
        <v>81</v>
      </c>
      <c r="I12" s="15">
        <f t="shared" si="0"/>
        <v>221</v>
      </c>
      <c r="J12" s="17">
        <f t="shared" si="1"/>
        <v>73.666666666666671</v>
      </c>
    </row>
    <row r="13" spans="1:13" x14ac:dyDescent="0.2">
      <c r="A13" s="15" t="s">
        <v>69</v>
      </c>
      <c r="B13" s="15" t="s">
        <v>52</v>
      </c>
      <c r="C13" s="16" t="s">
        <v>302</v>
      </c>
      <c r="D13" s="16"/>
      <c r="F13" s="15">
        <v>67</v>
      </c>
      <c r="G13" s="15">
        <v>95</v>
      </c>
      <c r="H13" s="15">
        <v>69</v>
      </c>
      <c r="I13" s="15">
        <f t="shared" si="0"/>
        <v>231</v>
      </c>
      <c r="J13" s="17">
        <f t="shared" si="1"/>
        <v>77</v>
      </c>
    </row>
    <row r="14" spans="1:13" x14ac:dyDescent="0.2">
      <c r="A14" s="15" t="s">
        <v>70</v>
      </c>
      <c r="B14" s="15" t="s">
        <v>53</v>
      </c>
      <c r="C14" s="16" t="s">
        <v>303</v>
      </c>
      <c r="D14" s="16"/>
      <c r="F14" s="15">
        <v>98</v>
      </c>
      <c r="G14" s="15">
        <v>64</v>
      </c>
      <c r="H14" s="15">
        <v>91</v>
      </c>
      <c r="I14" s="15">
        <f t="shared" si="0"/>
        <v>253</v>
      </c>
      <c r="J14" s="17">
        <f t="shared" si="1"/>
        <v>84.333333333333329</v>
      </c>
    </row>
    <row r="15" spans="1:13" x14ac:dyDescent="0.2">
      <c r="A15" s="15" t="s">
        <v>71</v>
      </c>
      <c r="B15" s="15" t="s">
        <v>54</v>
      </c>
      <c r="C15" s="16" t="s">
        <v>304</v>
      </c>
      <c r="D15" s="16"/>
      <c r="F15" s="15">
        <v>66</v>
      </c>
      <c r="G15" s="15">
        <v>69</v>
      </c>
      <c r="H15" s="15">
        <v>79</v>
      </c>
      <c r="I15" s="15">
        <f t="shared" si="0"/>
        <v>214</v>
      </c>
      <c r="J15" s="17">
        <f t="shared" si="1"/>
        <v>71.333333333333329</v>
      </c>
    </row>
    <row r="16" spans="1:13" x14ac:dyDescent="0.2">
      <c r="A16" s="15" t="s">
        <v>72</v>
      </c>
      <c r="B16" s="15" t="s">
        <v>55</v>
      </c>
      <c r="C16" s="16" t="s">
        <v>305</v>
      </c>
      <c r="D16" s="16"/>
      <c r="F16" s="15">
        <v>78</v>
      </c>
      <c r="G16" s="15">
        <v>80</v>
      </c>
      <c r="H16" s="15">
        <v>90</v>
      </c>
      <c r="I16" s="15">
        <f t="shared" si="0"/>
        <v>248</v>
      </c>
      <c r="J16" s="17">
        <f t="shared" si="1"/>
        <v>82.666666666666671</v>
      </c>
    </row>
    <row r="17" spans="1:16" x14ac:dyDescent="0.2">
      <c r="A17" s="15" t="s">
        <v>73</v>
      </c>
      <c r="B17" s="15" t="s">
        <v>56</v>
      </c>
      <c r="C17" s="16" t="s">
        <v>306</v>
      </c>
      <c r="D17" s="16"/>
      <c r="F17" s="15">
        <v>97</v>
      </c>
      <c r="G17" s="15">
        <v>94</v>
      </c>
      <c r="H17" s="15">
        <v>96</v>
      </c>
      <c r="I17" s="15">
        <f t="shared" si="0"/>
        <v>287</v>
      </c>
      <c r="J17" s="17">
        <f t="shared" si="1"/>
        <v>95.666666666666671</v>
      </c>
    </row>
    <row r="18" spans="1:16" x14ac:dyDescent="0.2">
      <c r="A18" s="15" t="s">
        <v>74</v>
      </c>
      <c r="B18" s="15" t="s">
        <v>57</v>
      </c>
      <c r="C18" s="16" t="s">
        <v>307</v>
      </c>
      <c r="D18" s="16"/>
      <c r="F18" s="15">
        <v>96</v>
      </c>
      <c r="G18" s="15">
        <v>90</v>
      </c>
      <c r="H18" s="15">
        <v>98</v>
      </c>
      <c r="I18" s="15">
        <f t="shared" si="0"/>
        <v>284</v>
      </c>
      <c r="J18" s="17">
        <f t="shared" si="1"/>
        <v>94.666666666666671</v>
      </c>
    </row>
    <row r="19" spans="1:16" x14ac:dyDescent="0.2">
      <c r="P19" s="18"/>
    </row>
    <row r="20" spans="1:16" x14ac:dyDescent="0.2">
      <c r="D20" s="15" t="s">
        <v>379</v>
      </c>
      <c r="E20" s="19"/>
      <c r="P20" s="18"/>
    </row>
    <row r="21" spans="1:16" x14ac:dyDescent="0.2">
      <c r="D21" s="15" t="s">
        <v>380</v>
      </c>
      <c r="E21" s="19"/>
    </row>
    <row r="22" spans="1:16" x14ac:dyDescent="0.2">
      <c r="D22" s="15" t="s">
        <v>381</v>
      </c>
      <c r="E22" s="19"/>
    </row>
    <row r="23" spans="1:16" x14ac:dyDescent="0.2">
      <c r="D23" s="15" t="s">
        <v>382</v>
      </c>
      <c r="E23" s="19"/>
    </row>
    <row r="24" spans="1:16" x14ac:dyDescent="0.2">
      <c r="D24" s="15" t="s">
        <v>383</v>
      </c>
      <c r="E24" s="19"/>
      <c r="P24" s="18"/>
    </row>
    <row r="25" spans="1:16" x14ac:dyDescent="0.2">
      <c r="D25" s="15" t="s">
        <v>384</v>
      </c>
      <c r="E25" s="19"/>
    </row>
    <row r="26" spans="1:16" x14ac:dyDescent="0.2">
      <c r="D26" s="15" t="s">
        <v>385</v>
      </c>
      <c r="E26" s="19"/>
    </row>
    <row r="27" spans="1:16" x14ac:dyDescent="0.2">
      <c r="D27" s="15" t="s">
        <v>386</v>
      </c>
      <c r="E27" s="19"/>
    </row>
    <row r="28" spans="1:16" x14ac:dyDescent="0.2">
      <c r="D28" s="15" t="s">
        <v>387</v>
      </c>
      <c r="E28" s="19"/>
    </row>
    <row r="29" spans="1:16" x14ac:dyDescent="0.2">
      <c r="A29" s="15" t="s">
        <v>179</v>
      </c>
    </row>
    <row r="30" spans="1:16" x14ac:dyDescent="0.2">
      <c r="A30" s="15" t="s">
        <v>180</v>
      </c>
    </row>
    <row r="31" spans="1:16" x14ac:dyDescent="0.2">
      <c r="A31" s="15" t="s">
        <v>178</v>
      </c>
    </row>
    <row r="32" spans="1:16" x14ac:dyDescent="0.2">
      <c r="A32" s="15" t="s">
        <v>177</v>
      </c>
    </row>
    <row r="33" spans="1:1" x14ac:dyDescent="0.2">
      <c r="A33" s="15" t="s">
        <v>388</v>
      </c>
    </row>
  </sheetData>
  <phoneticPr fontId="1" type="noConversion"/>
  <dataValidations count="1">
    <dataValidation type="list" allowBlank="1" showInputMessage="1" showErrorMessage="1" sqref="O13" xr:uid="{ADF40BCD-D270-4A95-AC3E-2CF75F47D009}">
      <formula1>$A$2:$A$16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A4D9D-2C34-46F9-8998-D6D5D69FC8F7}">
  <dimension ref="A1:M31"/>
  <sheetViews>
    <sheetView workbookViewId="0">
      <selection activeCell="M9" sqref="M9"/>
    </sheetView>
  </sheetViews>
  <sheetFormatPr defaultRowHeight="14.25" x14ac:dyDescent="0.2"/>
  <cols>
    <col min="1" max="1" width="9.375" bestFit="1" customWidth="1"/>
    <col min="2" max="2" width="14.625" bestFit="1" customWidth="1"/>
    <col min="3" max="3" width="8.625" bestFit="1" customWidth="1"/>
    <col min="4" max="6" width="6.75" bestFit="1" customWidth="1"/>
    <col min="7" max="7" width="7.375" bestFit="1" customWidth="1"/>
    <col min="8" max="8" width="8.375" bestFit="1" customWidth="1"/>
    <col min="10" max="10" width="11" bestFit="1" customWidth="1"/>
    <col min="13" max="13" width="13" bestFit="1" customWidth="1"/>
    <col min="14" max="14" width="13.625" bestFit="1" customWidth="1"/>
    <col min="20" max="20" width="14.25" bestFit="1" customWidth="1"/>
  </cols>
  <sheetData>
    <row r="1" spans="1:13" x14ac:dyDescent="0.2">
      <c r="A1" t="s">
        <v>325</v>
      </c>
      <c r="B1" t="s">
        <v>10</v>
      </c>
      <c r="C1" t="s">
        <v>328</v>
      </c>
      <c r="D1" t="s">
        <v>22</v>
      </c>
      <c r="E1" t="s">
        <v>23</v>
      </c>
      <c r="F1" t="s">
        <v>327</v>
      </c>
      <c r="G1" t="s">
        <v>326</v>
      </c>
      <c r="H1" t="s">
        <v>24</v>
      </c>
    </row>
    <row r="2" spans="1:13" x14ac:dyDescent="0.2">
      <c r="A2" t="s">
        <v>329</v>
      </c>
      <c r="B2" s="23">
        <v>43689</v>
      </c>
      <c r="C2" t="s">
        <v>330</v>
      </c>
      <c r="D2" t="s">
        <v>17</v>
      </c>
      <c r="E2" t="s">
        <v>11</v>
      </c>
      <c r="F2">
        <v>120</v>
      </c>
      <c r="G2">
        <v>8.5</v>
      </c>
      <c r="H2">
        <f>F2*G2</f>
        <v>1020</v>
      </c>
      <c r="M2" t="s">
        <v>92</v>
      </c>
    </row>
    <row r="3" spans="1:13" x14ac:dyDescent="0.2">
      <c r="A3" t="s">
        <v>332</v>
      </c>
      <c r="B3" s="23">
        <v>43774</v>
      </c>
      <c r="C3" t="s">
        <v>337</v>
      </c>
      <c r="D3" t="s">
        <v>331</v>
      </c>
      <c r="E3" t="s">
        <v>11</v>
      </c>
      <c r="F3">
        <v>80</v>
      </c>
      <c r="G3">
        <v>4.5</v>
      </c>
      <c r="H3">
        <f t="shared" ref="H3:H31" si="0">F3*G3</f>
        <v>360</v>
      </c>
      <c r="M3" t="s">
        <v>378</v>
      </c>
    </row>
    <row r="4" spans="1:13" x14ac:dyDescent="0.2">
      <c r="A4" t="s">
        <v>334</v>
      </c>
      <c r="B4" s="23">
        <v>43879</v>
      </c>
      <c r="C4" t="s">
        <v>342</v>
      </c>
      <c r="D4" t="s">
        <v>333</v>
      </c>
      <c r="E4" t="s">
        <v>12</v>
      </c>
      <c r="F4">
        <v>50</v>
      </c>
      <c r="G4">
        <v>3.5</v>
      </c>
      <c r="H4">
        <f t="shared" si="0"/>
        <v>175</v>
      </c>
    </row>
    <row r="5" spans="1:13" x14ac:dyDescent="0.2">
      <c r="A5" t="s">
        <v>336</v>
      </c>
      <c r="B5" s="23">
        <v>44004</v>
      </c>
      <c r="C5" t="s">
        <v>346</v>
      </c>
      <c r="D5" t="s">
        <v>335</v>
      </c>
      <c r="E5" t="s">
        <v>21</v>
      </c>
      <c r="F5">
        <v>60</v>
      </c>
      <c r="G5">
        <v>6.5</v>
      </c>
      <c r="H5">
        <f t="shared" si="0"/>
        <v>390</v>
      </c>
    </row>
    <row r="6" spans="1:13" x14ac:dyDescent="0.2">
      <c r="A6" t="s">
        <v>338</v>
      </c>
      <c r="B6" s="23">
        <v>44084</v>
      </c>
      <c r="C6" t="s">
        <v>330</v>
      </c>
      <c r="D6" t="s">
        <v>26</v>
      </c>
      <c r="E6" t="s">
        <v>11</v>
      </c>
      <c r="F6">
        <v>45</v>
      </c>
      <c r="G6">
        <v>18</v>
      </c>
      <c r="H6">
        <f t="shared" si="0"/>
        <v>810</v>
      </c>
    </row>
    <row r="7" spans="1:13" x14ac:dyDescent="0.2">
      <c r="A7" t="s">
        <v>340</v>
      </c>
      <c r="B7" s="23">
        <v>44211</v>
      </c>
      <c r="C7" t="s">
        <v>337</v>
      </c>
      <c r="D7" t="s">
        <v>339</v>
      </c>
      <c r="E7" t="s">
        <v>12</v>
      </c>
      <c r="F7">
        <v>70</v>
      </c>
      <c r="G7">
        <v>5</v>
      </c>
      <c r="H7">
        <f t="shared" si="0"/>
        <v>350</v>
      </c>
      <c r="M7" t="s">
        <v>93</v>
      </c>
    </row>
    <row r="8" spans="1:13" x14ac:dyDescent="0.2">
      <c r="A8" t="s">
        <v>341</v>
      </c>
      <c r="B8" s="23">
        <v>44314</v>
      </c>
      <c r="C8" t="s">
        <v>342</v>
      </c>
      <c r="D8" t="s">
        <v>14</v>
      </c>
      <c r="E8" t="s">
        <v>21</v>
      </c>
      <c r="F8">
        <v>30</v>
      </c>
      <c r="G8">
        <v>45</v>
      </c>
      <c r="H8">
        <f t="shared" si="0"/>
        <v>1350</v>
      </c>
      <c r="M8" t="s">
        <v>94</v>
      </c>
    </row>
    <row r="9" spans="1:13" x14ac:dyDescent="0.2">
      <c r="A9" t="s">
        <v>343</v>
      </c>
      <c r="B9" s="23">
        <v>44414</v>
      </c>
      <c r="C9" t="s">
        <v>346</v>
      </c>
      <c r="D9" t="s">
        <v>18</v>
      </c>
      <c r="E9" t="s">
        <v>12</v>
      </c>
      <c r="F9">
        <v>55</v>
      </c>
      <c r="G9">
        <v>4</v>
      </c>
      <c r="H9">
        <f t="shared" si="0"/>
        <v>220</v>
      </c>
      <c r="M9" t="s">
        <v>95</v>
      </c>
    </row>
    <row r="10" spans="1:13" x14ac:dyDescent="0.2">
      <c r="A10" t="s">
        <v>344</v>
      </c>
      <c r="B10" s="23">
        <v>44550</v>
      </c>
      <c r="C10" t="s">
        <v>330</v>
      </c>
      <c r="D10" t="s">
        <v>15</v>
      </c>
      <c r="E10" t="s">
        <v>21</v>
      </c>
      <c r="F10">
        <v>100</v>
      </c>
      <c r="G10">
        <v>15</v>
      </c>
      <c r="H10">
        <f t="shared" si="0"/>
        <v>1500</v>
      </c>
    </row>
    <row r="11" spans="1:13" x14ac:dyDescent="0.2">
      <c r="A11" t="s">
        <v>345</v>
      </c>
      <c r="B11" s="23">
        <v>44634</v>
      </c>
      <c r="C11" t="s">
        <v>337</v>
      </c>
      <c r="D11" t="s">
        <v>16</v>
      </c>
      <c r="E11" t="s">
        <v>11</v>
      </c>
      <c r="F11">
        <v>90</v>
      </c>
      <c r="G11">
        <v>12</v>
      </c>
      <c r="H11">
        <f t="shared" si="0"/>
        <v>1080</v>
      </c>
    </row>
    <row r="12" spans="1:13" x14ac:dyDescent="0.2">
      <c r="A12" t="s">
        <v>347</v>
      </c>
      <c r="B12" s="23">
        <v>44751</v>
      </c>
      <c r="C12" t="s">
        <v>342</v>
      </c>
      <c r="D12" t="s">
        <v>25</v>
      </c>
      <c r="E12" t="s">
        <v>12</v>
      </c>
      <c r="F12">
        <v>150</v>
      </c>
      <c r="G12">
        <v>3</v>
      </c>
      <c r="H12">
        <f t="shared" si="0"/>
        <v>450</v>
      </c>
    </row>
    <row r="13" spans="1:13" x14ac:dyDescent="0.2">
      <c r="A13" t="s">
        <v>348</v>
      </c>
      <c r="B13" s="23">
        <v>44859</v>
      </c>
      <c r="C13" t="s">
        <v>346</v>
      </c>
      <c r="D13" t="s">
        <v>19</v>
      </c>
      <c r="E13" t="s">
        <v>21</v>
      </c>
      <c r="F13">
        <v>25</v>
      </c>
      <c r="G13">
        <v>35</v>
      </c>
      <c r="H13">
        <f t="shared" si="0"/>
        <v>875</v>
      </c>
      <c r="M13" t="s">
        <v>367</v>
      </c>
    </row>
    <row r="14" spans="1:13" x14ac:dyDescent="0.2">
      <c r="A14" t="s">
        <v>349</v>
      </c>
      <c r="B14" s="23">
        <v>44965</v>
      </c>
      <c r="C14" t="s">
        <v>330</v>
      </c>
      <c r="D14" t="s">
        <v>27</v>
      </c>
      <c r="E14" t="s">
        <v>11</v>
      </c>
      <c r="F14">
        <v>110</v>
      </c>
      <c r="G14">
        <v>7.5</v>
      </c>
      <c r="H14">
        <f t="shared" si="0"/>
        <v>825</v>
      </c>
      <c r="M14" t="s">
        <v>368</v>
      </c>
    </row>
    <row r="15" spans="1:13" x14ac:dyDescent="0.2">
      <c r="A15" t="s">
        <v>350</v>
      </c>
      <c r="B15" s="23">
        <v>45065</v>
      </c>
      <c r="C15" t="s">
        <v>337</v>
      </c>
      <c r="D15" t="s">
        <v>13</v>
      </c>
      <c r="E15" t="s">
        <v>11</v>
      </c>
      <c r="F15">
        <v>40</v>
      </c>
      <c r="G15">
        <v>10</v>
      </c>
      <c r="H15">
        <f t="shared" si="0"/>
        <v>400</v>
      </c>
      <c r="M15" t="s">
        <v>369</v>
      </c>
    </row>
    <row r="16" spans="1:13" x14ac:dyDescent="0.2">
      <c r="A16" t="s">
        <v>351</v>
      </c>
      <c r="B16" s="23">
        <v>45172</v>
      </c>
      <c r="C16" t="s">
        <v>342</v>
      </c>
      <c r="D16" t="s">
        <v>20</v>
      </c>
      <c r="E16" t="s">
        <v>12</v>
      </c>
      <c r="F16">
        <v>65</v>
      </c>
      <c r="G16">
        <v>6</v>
      </c>
      <c r="H16">
        <f t="shared" si="0"/>
        <v>390</v>
      </c>
      <c r="M16" t="s">
        <v>370</v>
      </c>
    </row>
    <row r="17" spans="1:13" x14ac:dyDescent="0.2">
      <c r="A17" t="s">
        <v>352</v>
      </c>
      <c r="B17" s="23">
        <v>45272</v>
      </c>
      <c r="C17" t="s">
        <v>346</v>
      </c>
      <c r="D17" t="s">
        <v>17</v>
      </c>
      <c r="E17" t="s">
        <v>11</v>
      </c>
      <c r="F17">
        <v>200</v>
      </c>
      <c r="G17">
        <v>9</v>
      </c>
      <c r="H17">
        <f t="shared" si="0"/>
        <v>1800</v>
      </c>
    </row>
    <row r="18" spans="1:13" x14ac:dyDescent="0.2">
      <c r="A18" t="s">
        <v>353</v>
      </c>
      <c r="B18" s="23">
        <v>45311</v>
      </c>
      <c r="C18" t="s">
        <v>330</v>
      </c>
      <c r="D18" t="s">
        <v>333</v>
      </c>
      <c r="E18" t="s">
        <v>12</v>
      </c>
      <c r="F18">
        <v>80</v>
      </c>
      <c r="G18">
        <v>4</v>
      </c>
      <c r="H18">
        <f t="shared" si="0"/>
        <v>320</v>
      </c>
    </row>
    <row r="19" spans="1:13" x14ac:dyDescent="0.2">
      <c r="A19" t="s">
        <v>354</v>
      </c>
      <c r="B19" s="23">
        <v>45389</v>
      </c>
      <c r="C19" t="s">
        <v>337</v>
      </c>
      <c r="D19" t="s">
        <v>335</v>
      </c>
      <c r="E19" t="s">
        <v>21</v>
      </c>
      <c r="F19">
        <v>75</v>
      </c>
      <c r="G19">
        <v>7</v>
      </c>
      <c r="H19">
        <f t="shared" si="0"/>
        <v>525</v>
      </c>
    </row>
    <row r="20" spans="1:13" x14ac:dyDescent="0.2">
      <c r="A20" t="s">
        <v>355</v>
      </c>
      <c r="B20" s="23">
        <v>45461</v>
      </c>
      <c r="C20" t="s">
        <v>342</v>
      </c>
      <c r="D20" t="s">
        <v>331</v>
      </c>
      <c r="E20" t="s">
        <v>11</v>
      </c>
      <c r="F20">
        <v>130</v>
      </c>
      <c r="G20">
        <v>5</v>
      </c>
      <c r="H20">
        <f t="shared" si="0"/>
        <v>650</v>
      </c>
      <c r="M20" t="s">
        <v>371</v>
      </c>
    </row>
    <row r="21" spans="1:13" x14ac:dyDescent="0.2">
      <c r="A21" t="s">
        <v>356</v>
      </c>
      <c r="B21" s="23">
        <v>45529</v>
      </c>
      <c r="C21" t="s">
        <v>346</v>
      </c>
      <c r="D21" t="s">
        <v>339</v>
      </c>
      <c r="E21" t="s">
        <v>12</v>
      </c>
      <c r="F21">
        <v>90</v>
      </c>
      <c r="G21">
        <v>5.5</v>
      </c>
      <c r="H21">
        <f t="shared" si="0"/>
        <v>495</v>
      </c>
      <c r="M21" t="s">
        <v>372</v>
      </c>
    </row>
    <row r="22" spans="1:13" x14ac:dyDescent="0.2">
      <c r="A22" t="s">
        <v>357</v>
      </c>
      <c r="B22" s="23">
        <v>45574</v>
      </c>
      <c r="C22" t="s">
        <v>330</v>
      </c>
      <c r="D22" t="s">
        <v>14</v>
      </c>
      <c r="E22" t="s">
        <v>21</v>
      </c>
      <c r="F22">
        <v>40</v>
      </c>
      <c r="G22">
        <v>48</v>
      </c>
      <c r="H22">
        <f t="shared" si="0"/>
        <v>1920</v>
      </c>
      <c r="M22" t="s">
        <v>373</v>
      </c>
    </row>
    <row r="23" spans="1:13" x14ac:dyDescent="0.2">
      <c r="A23" t="s">
        <v>358</v>
      </c>
      <c r="B23" s="23">
        <v>45627</v>
      </c>
      <c r="C23" t="s">
        <v>337</v>
      </c>
      <c r="D23" t="s">
        <v>26</v>
      </c>
      <c r="E23" t="s">
        <v>11</v>
      </c>
      <c r="F23">
        <v>60</v>
      </c>
      <c r="G23">
        <v>20</v>
      </c>
      <c r="H23">
        <f t="shared" si="0"/>
        <v>1200</v>
      </c>
      <c r="M23" t="s">
        <v>374</v>
      </c>
    </row>
    <row r="24" spans="1:13" x14ac:dyDescent="0.2">
      <c r="A24" t="s">
        <v>359</v>
      </c>
      <c r="B24" s="23">
        <v>45672</v>
      </c>
      <c r="C24" t="s">
        <v>342</v>
      </c>
      <c r="D24" t="s">
        <v>18</v>
      </c>
      <c r="E24" t="s">
        <v>12</v>
      </c>
      <c r="F24">
        <v>100</v>
      </c>
      <c r="G24">
        <v>4.5</v>
      </c>
      <c r="H24">
        <f t="shared" si="0"/>
        <v>450</v>
      </c>
      <c r="M24" t="s">
        <v>375</v>
      </c>
    </row>
    <row r="25" spans="1:13" x14ac:dyDescent="0.2">
      <c r="A25" t="s">
        <v>360</v>
      </c>
      <c r="B25" s="23">
        <v>45716</v>
      </c>
      <c r="C25" t="s">
        <v>346</v>
      </c>
      <c r="D25" t="s">
        <v>15</v>
      </c>
      <c r="E25" t="s">
        <v>21</v>
      </c>
      <c r="F25">
        <v>120</v>
      </c>
      <c r="G25">
        <v>16</v>
      </c>
      <c r="H25">
        <f t="shared" si="0"/>
        <v>1920</v>
      </c>
      <c r="M25" t="s">
        <v>376</v>
      </c>
    </row>
    <row r="26" spans="1:13" x14ac:dyDescent="0.2">
      <c r="A26" t="s">
        <v>361</v>
      </c>
      <c r="B26" s="23">
        <v>45736</v>
      </c>
      <c r="C26" t="s">
        <v>330</v>
      </c>
      <c r="D26" t="s">
        <v>16</v>
      </c>
      <c r="E26" t="s">
        <v>11</v>
      </c>
      <c r="F26">
        <v>150</v>
      </c>
      <c r="G26">
        <v>13</v>
      </c>
      <c r="H26">
        <f t="shared" si="0"/>
        <v>1950</v>
      </c>
      <c r="M26" t="s">
        <v>377</v>
      </c>
    </row>
    <row r="27" spans="1:13" x14ac:dyDescent="0.2">
      <c r="A27" t="s">
        <v>362</v>
      </c>
      <c r="B27" s="23">
        <v>45759</v>
      </c>
      <c r="C27" t="s">
        <v>337</v>
      </c>
      <c r="D27" t="s">
        <v>25</v>
      </c>
      <c r="E27" t="s">
        <v>12</v>
      </c>
      <c r="F27">
        <v>180</v>
      </c>
      <c r="G27">
        <v>3.5</v>
      </c>
      <c r="H27">
        <f t="shared" si="0"/>
        <v>630</v>
      </c>
    </row>
    <row r="28" spans="1:13" x14ac:dyDescent="0.2">
      <c r="A28" t="s">
        <v>363</v>
      </c>
      <c r="B28" s="23">
        <v>45782</v>
      </c>
      <c r="C28" t="s">
        <v>342</v>
      </c>
      <c r="D28" t="s">
        <v>19</v>
      </c>
      <c r="E28" t="s">
        <v>21</v>
      </c>
      <c r="F28">
        <v>35</v>
      </c>
      <c r="G28">
        <v>38</v>
      </c>
      <c r="H28">
        <f t="shared" si="0"/>
        <v>1330</v>
      </c>
    </row>
    <row r="29" spans="1:13" x14ac:dyDescent="0.2">
      <c r="A29" t="s">
        <v>364</v>
      </c>
      <c r="B29" s="23">
        <v>45826</v>
      </c>
      <c r="C29" t="s">
        <v>346</v>
      </c>
      <c r="D29" t="s">
        <v>27</v>
      </c>
      <c r="E29" t="s">
        <v>11</v>
      </c>
      <c r="F29">
        <v>140</v>
      </c>
      <c r="G29">
        <v>8</v>
      </c>
      <c r="H29">
        <f t="shared" si="0"/>
        <v>1120</v>
      </c>
    </row>
    <row r="30" spans="1:13" x14ac:dyDescent="0.2">
      <c r="A30" t="s">
        <v>365</v>
      </c>
      <c r="B30" s="23">
        <v>45860</v>
      </c>
      <c r="C30" t="s">
        <v>330</v>
      </c>
      <c r="D30" t="s">
        <v>13</v>
      </c>
      <c r="E30" t="s">
        <v>11</v>
      </c>
      <c r="F30">
        <v>55</v>
      </c>
      <c r="G30">
        <v>12</v>
      </c>
      <c r="H30">
        <f t="shared" si="0"/>
        <v>660</v>
      </c>
    </row>
    <row r="31" spans="1:13" x14ac:dyDescent="0.2">
      <c r="A31" t="s">
        <v>366</v>
      </c>
      <c r="B31" s="23">
        <v>45899</v>
      </c>
      <c r="C31" t="s">
        <v>337</v>
      </c>
      <c r="D31" t="s">
        <v>20</v>
      </c>
      <c r="E31" t="s">
        <v>12</v>
      </c>
      <c r="F31">
        <v>85</v>
      </c>
      <c r="G31">
        <v>7</v>
      </c>
      <c r="H31">
        <f t="shared" si="0"/>
        <v>595</v>
      </c>
    </row>
  </sheetData>
  <sortState xmlns:xlrd2="http://schemas.microsoft.com/office/spreadsheetml/2017/richdata2" ref="D2:H14">
    <sortCondition ref="E2:E14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C260-99D9-44C3-B324-76C50FC519FC}">
  <dimension ref="A1:U41"/>
  <sheetViews>
    <sheetView workbookViewId="0">
      <selection activeCell="R14" sqref="R14"/>
    </sheetView>
  </sheetViews>
  <sheetFormatPr defaultRowHeight="14.25" x14ac:dyDescent="0.2"/>
  <cols>
    <col min="1" max="2" width="9" style="1" bestFit="1" customWidth="1"/>
    <col min="3" max="3" width="5.25" style="1" bestFit="1" customWidth="1"/>
    <col min="4" max="4" width="9" style="1" bestFit="1" customWidth="1"/>
    <col min="5" max="5" width="13" style="1" bestFit="1" customWidth="1"/>
    <col min="6" max="6" width="11.125" style="1" bestFit="1" customWidth="1"/>
    <col min="7" max="7" width="5.25" style="1" bestFit="1" customWidth="1"/>
    <col min="8" max="8" width="7.125" style="1" bestFit="1" customWidth="1"/>
    <col min="9" max="10" width="9" style="1" bestFit="1" customWidth="1"/>
    <col min="11" max="11" width="7.125" style="1" bestFit="1" customWidth="1"/>
    <col min="12" max="12" width="5.5" style="1" bestFit="1" customWidth="1"/>
    <col min="13" max="13" width="9" style="1" bestFit="1" customWidth="1"/>
    <col min="14" max="14" width="9" style="1"/>
    <col min="15" max="15" width="9.5" style="1" bestFit="1" customWidth="1"/>
    <col min="16" max="17" width="9" style="1" customWidth="1"/>
    <col min="18" max="16384" width="9" style="1"/>
  </cols>
  <sheetData>
    <row r="1" spans="1:17" x14ac:dyDescent="0.2">
      <c r="A1" s="20" t="s">
        <v>28</v>
      </c>
      <c r="B1" s="20" t="s">
        <v>309</v>
      </c>
      <c r="C1" s="20" t="s">
        <v>81</v>
      </c>
      <c r="D1" s="20" t="s">
        <v>310</v>
      </c>
      <c r="E1" s="20" t="s">
        <v>84</v>
      </c>
      <c r="F1" s="20" t="s">
        <v>83</v>
      </c>
      <c r="G1" s="20" t="s">
        <v>82</v>
      </c>
      <c r="H1" s="20" t="s">
        <v>311</v>
      </c>
      <c r="I1" s="20" t="s">
        <v>29</v>
      </c>
      <c r="J1" s="20" t="s">
        <v>312</v>
      </c>
      <c r="K1" s="20" t="s">
        <v>313</v>
      </c>
      <c r="L1" s="20" t="s">
        <v>30</v>
      </c>
    </row>
    <row r="2" spans="1:17" x14ac:dyDescent="0.2">
      <c r="A2" s="20">
        <v>1</v>
      </c>
      <c r="B2" s="20" t="s">
        <v>31</v>
      </c>
      <c r="C2" s="20" t="s">
        <v>85</v>
      </c>
      <c r="D2" s="20" t="s">
        <v>314</v>
      </c>
      <c r="E2" s="20" t="s">
        <v>87</v>
      </c>
      <c r="F2" s="21">
        <v>21925</v>
      </c>
      <c r="G2" s="20" t="s">
        <v>86</v>
      </c>
      <c r="H2" s="20" t="s">
        <v>266</v>
      </c>
      <c r="I2" s="20">
        <v>4700</v>
      </c>
      <c r="J2" s="20">
        <v>1500</v>
      </c>
      <c r="K2" s="20">
        <v>103</v>
      </c>
      <c r="L2" s="20">
        <v>800</v>
      </c>
    </row>
    <row r="3" spans="1:17" x14ac:dyDescent="0.2">
      <c r="A3" s="20">
        <v>2</v>
      </c>
      <c r="B3" s="20" t="s">
        <v>32</v>
      </c>
      <c r="C3" s="20" t="s">
        <v>85</v>
      </c>
      <c r="D3" s="20" t="s">
        <v>314</v>
      </c>
      <c r="E3" s="20" t="s">
        <v>315</v>
      </c>
      <c r="F3" s="21">
        <v>25122</v>
      </c>
      <c r="G3" s="20" t="s">
        <v>86</v>
      </c>
      <c r="H3" s="20" t="s">
        <v>271</v>
      </c>
      <c r="I3" s="20">
        <v>3200</v>
      </c>
      <c r="J3" s="20">
        <v>1000</v>
      </c>
      <c r="K3" s="20">
        <v>205</v>
      </c>
      <c r="L3" s="20">
        <v>500</v>
      </c>
      <c r="P3" s="1" t="s">
        <v>389</v>
      </c>
    </row>
    <row r="4" spans="1:17" x14ac:dyDescent="0.2">
      <c r="A4" s="20">
        <v>3</v>
      </c>
      <c r="B4" s="20" t="s">
        <v>33</v>
      </c>
      <c r="C4" s="20" t="s">
        <v>85</v>
      </c>
      <c r="D4" s="20" t="s">
        <v>314</v>
      </c>
      <c r="E4" s="20" t="s">
        <v>315</v>
      </c>
      <c r="F4" s="21">
        <v>20950</v>
      </c>
      <c r="G4" s="20" t="s">
        <v>88</v>
      </c>
      <c r="H4" s="20" t="s">
        <v>269</v>
      </c>
      <c r="I4" s="20">
        <v>3400</v>
      </c>
      <c r="J4" s="20">
        <v>1000</v>
      </c>
      <c r="K4" s="20">
        <v>162</v>
      </c>
      <c r="L4" s="20">
        <v>800</v>
      </c>
    </row>
    <row r="5" spans="1:17" x14ac:dyDescent="0.2">
      <c r="A5" s="20">
        <v>4</v>
      </c>
      <c r="B5" s="20" t="s">
        <v>34</v>
      </c>
      <c r="C5" s="20" t="s">
        <v>85</v>
      </c>
      <c r="D5" s="20" t="s">
        <v>316</v>
      </c>
      <c r="E5" s="20" t="s">
        <v>317</v>
      </c>
      <c r="F5" s="21">
        <v>22132</v>
      </c>
      <c r="G5" s="20" t="s">
        <v>89</v>
      </c>
      <c r="H5" s="20" t="s">
        <v>39</v>
      </c>
      <c r="I5" s="20">
        <v>5000</v>
      </c>
      <c r="J5" s="20">
        <v>2000</v>
      </c>
      <c r="K5" s="20">
        <v>95.5</v>
      </c>
      <c r="L5" s="20">
        <v>1000</v>
      </c>
      <c r="P5" s="1" t="s">
        <v>97</v>
      </c>
      <c r="Q5" s="1" t="s">
        <v>98</v>
      </c>
    </row>
    <row r="6" spans="1:17" x14ac:dyDescent="0.2">
      <c r="A6" s="20">
        <v>5</v>
      </c>
      <c r="B6" s="20" t="s">
        <v>35</v>
      </c>
      <c r="C6" s="20" t="s">
        <v>90</v>
      </c>
      <c r="D6" s="20" t="s">
        <v>314</v>
      </c>
      <c r="E6" s="20" t="s">
        <v>87</v>
      </c>
      <c r="F6" s="21">
        <v>21220</v>
      </c>
      <c r="G6" s="20" t="s">
        <v>89</v>
      </c>
      <c r="H6" s="20" t="s">
        <v>266</v>
      </c>
      <c r="I6" s="20">
        <v>4500</v>
      </c>
      <c r="J6" s="20">
        <v>1500</v>
      </c>
      <c r="K6" s="20">
        <v>100.5</v>
      </c>
      <c r="L6" s="20">
        <v>1000</v>
      </c>
      <c r="P6" s="1" t="s">
        <v>96</v>
      </c>
      <c r="Q6" s="1" t="s">
        <v>99</v>
      </c>
    </row>
    <row r="7" spans="1:17" x14ac:dyDescent="0.2">
      <c r="A7" s="20">
        <v>6</v>
      </c>
      <c r="B7" s="20" t="s">
        <v>36</v>
      </c>
      <c r="C7" s="20" t="s">
        <v>90</v>
      </c>
      <c r="D7" s="20" t="s">
        <v>316</v>
      </c>
      <c r="E7" s="20" t="s">
        <v>91</v>
      </c>
      <c r="F7" s="21">
        <v>21248</v>
      </c>
      <c r="G7" s="20" t="s">
        <v>89</v>
      </c>
      <c r="H7" s="20" t="s">
        <v>269</v>
      </c>
      <c r="I7" s="20">
        <v>3800</v>
      </c>
      <c r="J7" s="20">
        <v>1000</v>
      </c>
      <c r="K7" s="20">
        <v>150</v>
      </c>
      <c r="L7" s="20">
        <v>800</v>
      </c>
    </row>
    <row r="8" spans="1:17" x14ac:dyDescent="0.2">
      <c r="A8" s="20">
        <v>7</v>
      </c>
      <c r="B8" s="20" t="s">
        <v>37</v>
      </c>
      <c r="C8" s="20" t="s">
        <v>90</v>
      </c>
      <c r="D8" s="20" t="s">
        <v>314</v>
      </c>
      <c r="E8" s="20" t="s">
        <v>91</v>
      </c>
      <c r="F8" s="21">
        <v>22951</v>
      </c>
      <c r="G8" s="20" t="s">
        <v>86</v>
      </c>
      <c r="H8" s="20" t="s">
        <v>266</v>
      </c>
      <c r="I8" s="20">
        <v>4300</v>
      </c>
      <c r="J8" s="20">
        <v>1500</v>
      </c>
      <c r="K8" s="20">
        <v>110</v>
      </c>
      <c r="L8" s="20">
        <v>480</v>
      </c>
    </row>
    <row r="9" spans="1:17" x14ac:dyDescent="0.2">
      <c r="A9" s="20">
        <v>8</v>
      </c>
      <c r="B9" s="20" t="s">
        <v>38</v>
      </c>
      <c r="C9" s="20" t="s">
        <v>85</v>
      </c>
      <c r="D9" s="20" t="s">
        <v>314</v>
      </c>
      <c r="E9" s="20" t="s">
        <v>317</v>
      </c>
      <c r="F9" s="21">
        <v>20616</v>
      </c>
      <c r="G9" s="20" t="s">
        <v>88</v>
      </c>
      <c r="H9" s="20" t="s">
        <v>266</v>
      </c>
      <c r="I9" s="20">
        <v>4500</v>
      </c>
      <c r="J9" s="20">
        <v>1500</v>
      </c>
      <c r="K9" s="20">
        <v>98.5</v>
      </c>
      <c r="L9" s="20">
        <v>900</v>
      </c>
    </row>
    <row r="10" spans="1:17" x14ac:dyDescent="0.2">
      <c r="A10" s="20">
        <v>9</v>
      </c>
      <c r="B10" s="20" t="s">
        <v>318</v>
      </c>
      <c r="C10" s="20" t="s">
        <v>85</v>
      </c>
      <c r="D10" s="20" t="s">
        <v>314</v>
      </c>
      <c r="E10" s="20" t="s">
        <v>91</v>
      </c>
      <c r="F10" s="21">
        <v>21956</v>
      </c>
      <c r="G10" s="20" t="s">
        <v>88</v>
      </c>
      <c r="H10" s="20" t="s">
        <v>39</v>
      </c>
      <c r="I10" s="20">
        <v>4600</v>
      </c>
      <c r="J10" s="20">
        <v>2000</v>
      </c>
      <c r="K10" s="20">
        <v>154</v>
      </c>
      <c r="L10" s="20">
        <v>600</v>
      </c>
    </row>
    <row r="11" spans="1:17" x14ac:dyDescent="0.2">
      <c r="A11" s="20">
        <v>10</v>
      </c>
      <c r="B11" s="20" t="s">
        <v>40</v>
      </c>
      <c r="C11" s="20" t="s">
        <v>90</v>
      </c>
      <c r="D11" s="20" t="s">
        <v>316</v>
      </c>
      <c r="E11" s="20" t="s">
        <v>91</v>
      </c>
      <c r="F11" s="21">
        <v>25851</v>
      </c>
      <c r="G11" s="20" t="s">
        <v>88</v>
      </c>
      <c r="H11" s="20" t="s">
        <v>269</v>
      </c>
      <c r="I11" s="20">
        <v>3700</v>
      </c>
      <c r="J11" s="20">
        <v>1000</v>
      </c>
      <c r="K11" s="20">
        <v>105</v>
      </c>
      <c r="L11" s="20">
        <v>800</v>
      </c>
    </row>
    <row r="12" spans="1:17" ht="17.25" x14ac:dyDescent="0.2">
      <c r="A12" s="22">
        <v>11</v>
      </c>
      <c r="B12" s="20" t="s">
        <v>265</v>
      </c>
      <c r="C12" s="20" t="s">
        <v>90</v>
      </c>
      <c r="D12" s="20" t="s">
        <v>316</v>
      </c>
      <c r="E12" s="20" t="s">
        <v>87</v>
      </c>
      <c r="F12" s="21">
        <v>32278</v>
      </c>
      <c r="G12" s="20" t="s">
        <v>88</v>
      </c>
      <c r="H12" s="20" t="s">
        <v>266</v>
      </c>
      <c r="I12" s="20">
        <v>4800</v>
      </c>
      <c r="J12" s="20">
        <v>1500</v>
      </c>
      <c r="K12" s="20">
        <v>110.5</v>
      </c>
      <c r="L12" s="20">
        <v>900</v>
      </c>
    </row>
    <row r="13" spans="1:17" ht="17.25" x14ac:dyDescent="0.2">
      <c r="A13" s="22">
        <v>12</v>
      </c>
      <c r="B13" s="20" t="s">
        <v>267</v>
      </c>
      <c r="C13" s="20" t="s">
        <v>85</v>
      </c>
      <c r="D13" s="20" t="s">
        <v>314</v>
      </c>
      <c r="E13" s="20" t="s">
        <v>91</v>
      </c>
      <c r="F13" s="21">
        <v>27718</v>
      </c>
      <c r="G13" s="20" t="s">
        <v>86</v>
      </c>
      <c r="H13" s="20" t="s">
        <v>39</v>
      </c>
      <c r="I13" s="20">
        <v>5500</v>
      </c>
      <c r="J13" s="20">
        <v>2000</v>
      </c>
      <c r="K13" s="20">
        <v>160</v>
      </c>
      <c r="L13" s="20">
        <v>1000</v>
      </c>
    </row>
    <row r="14" spans="1:17" ht="17.25" x14ac:dyDescent="0.2">
      <c r="A14" s="22">
        <v>13</v>
      </c>
      <c r="B14" s="20" t="s">
        <v>268</v>
      </c>
      <c r="C14" s="20" t="s">
        <v>85</v>
      </c>
      <c r="D14" s="20" t="s">
        <v>314</v>
      </c>
      <c r="E14" s="20" t="s">
        <v>91</v>
      </c>
      <c r="F14" s="21">
        <v>33671</v>
      </c>
      <c r="G14" s="20" t="s">
        <v>89</v>
      </c>
      <c r="H14" s="20" t="s">
        <v>269</v>
      </c>
      <c r="I14" s="20">
        <v>3500</v>
      </c>
      <c r="J14" s="20">
        <v>1000</v>
      </c>
      <c r="K14" s="20">
        <v>98</v>
      </c>
      <c r="L14" s="20">
        <v>600</v>
      </c>
    </row>
    <row r="15" spans="1:17" ht="17.25" x14ac:dyDescent="0.2">
      <c r="A15" s="22">
        <v>14</v>
      </c>
      <c r="B15" s="20" t="s">
        <v>319</v>
      </c>
      <c r="C15" s="20" t="s">
        <v>90</v>
      </c>
      <c r="D15" s="20" t="s">
        <v>314</v>
      </c>
      <c r="E15" s="20" t="s">
        <v>91</v>
      </c>
      <c r="F15" s="21">
        <v>31240</v>
      </c>
      <c r="G15" s="20" t="s">
        <v>88</v>
      </c>
      <c r="H15" s="20" t="s">
        <v>266</v>
      </c>
      <c r="I15" s="20">
        <v>4600</v>
      </c>
      <c r="J15" s="20">
        <v>1500</v>
      </c>
      <c r="K15" s="20">
        <v>105</v>
      </c>
      <c r="L15" s="20">
        <v>900</v>
      </c>
    </row>
    <row r="16" spans="1:17" ht="17.25" x14ac:dyDescent="0.2">
      <c r="A16" s="22">
        <v>15</v>
      </c>
      <c r="B16" s="20" t="s">
        <v>270</v>
      </c>
      <c r="C16" s="20" t="s">
        <v>85</v>
      </c>
      <c r="D16" s="20" t="s">
        <v>314</v>
      </c>
      <c r="E16" s="20" t="s">
        <v>87</v>
      </c>
      <c r="F16" s="21">
        <v>33141</v>
      </c>
      <c r="G16" s="20" t="s">
        <v>86</v>
      </c>
      <c r="H16" s="20" t="s">
        <v>266</v>
      </c>
      <c r="I16" s="20">
        <v>5000</v>
      </c>
      <c r="J16" s="20">
        <v>1500</v>
      </c>
      <c r="K16" s="20">
        <v>120</v>
      </c>
      <c r="L16" s="20">
        <v>950</v>
      </c>
    </row>
    <row r="17" spans="1:12" ht="17.25" x14ac:dyDescent="0.2">
      <c r="A17" s="22">
        <v>16</v>
      </c>
      <c r="B17" s="20" t="s">
        <v>320</v>
      </c>
      <c r="C17" s="20" t="s">
        <v>90</v>
      </c>
      <c r="D17" s="20" t="s">
        <v>314</v>
      </c>
      <c r="E17" s="20" t="s">
        <v>91</v>
      </c>
      <c r="F17" s="21">
        <v>30346</v>
      </c>
      <c r="G17" s="20" t="s">
        <v>88</v>
      </c>
      <c r="H17" s="20" t="s">
        <v>269</v>
      </c>
      <c r="I17" s="20">
        <v>3800</v>
      </c>
      <c r="J17" s="20">
        <v>1000</v>
      </c>
      <c r="K17" s="20">
        <v>95.5</v>
      </c>
      <c r="L17" s="20">
        <v>700</v>
      </c>
    </row>
    <row r="18" spans="1:12" ht="17.25" x14ac:dyDescent="0.2">
      <c r="A18" s="22">
        <v>17</v>
      </c>
      <c r="B18" s="20" t="s">
        <v>321</v>
      </c>
      <c r="C18" s="20" t="s">
        <v>85</v>
      </c>
      <c r="D18" s="20" t="s">
        <v>314</v>
      </c>
      <c r="E18" s="20" t="s">
        <v>87</v>
      </c>
      <c r="F18" s="21">
        <v>28659</v>
      </c>
      <c r="G18" s="20" t="s">
        <v>86</v>
      </c>
      <c r="H18" s="20" t="s">
        <v>39</v>
      </c>
      <c r="I18" s="20">
        <v>5800</v>
      </c>
      <c r="J18" s="20">
        <v>2000</v>
      </c>
      <c r="K18" s="20">
        <v>170</v>
      </c>
      <c r="L18" s="20">
        <v>1000</v>
      </c>
    </row>
    <row r="19" spans="1:12" ht="17.25" x14ac:dyDescent="0.2">
      <c r="A19" s="22">
        <v>18</v>
      </c>
      <c r="B19" s="20" t="s">
        <v>322</v>
      </c>
      <c r="C19" s="20" t="s">
        <v>90</v>
      </c>
      <c r="D19" s="20" t="s">
        <v>316</v>
      </c>
      <c r="E19" s="20" t="s">
        <v>91</v>
      </c>
      <c r="F19" s="21">
        <v>33577</v>
      </c>
      <c r="G19" s="20" t="s">
        <v>89</v>
      </c>
      <c r="H19" s="20" t="s">
        <v>269</v>
      </c>
      <c r="I19" s="20">
        <v>3400</v>
      </c>
      <c r="J19" s="20">
        <v>1000</v>
      </c>
      <c r="K19" s="20">
        <v>92</v>
      </c>
      <c r="L19" s="20">
        <v>600</v>
      </c>
    </row>
    <row r="20" spans="1:12" ht="17.25" x14ac:dyDescent="0.2">
      <c r="A20" s="22">
        <v>19</v>
      </c>
      <c r="B20" s="20" t="s">
        <v>323</v>
      </c>
      <c r="C20" s="20" t="s">
        <v>85</v>
      </c>
      <c r="D20" s="20" t="s">
        <v>314</v>
      </c>
      <c r="E20" s="20" t="s">
        <v>87</v>
      </c>
      <c r="F20" s="21">
        <v>31889</v>
      </c>
      <c r="G20" s="20" t="s">
        <v>88</v>
      </c>
      <c r="H20" s="20" t="s">
        <v>266</v>
      </c>
      <c r="I20" s="20">
        <v>4700</v>
      </c>
      <c r="J20" s="20">
        <v>1500</v>
      </c>
      <c r="K20" s="20">
        <v>115</v>
      </c>
      <c r="L20" s="20">
        <v>900</v>
      </c>
    </row>
    <row r="21" spans="1:12" ht="17.25" x14ac:dyDescent="0.2">
      <c r="A21" s="22">
        <v>20</v>
      </c>
      <c r="B21" s="20" t="s">
        <v>324</v>
      </c>
      <c r="C21" s="20" t="s">
        <v>90</v>
      </c>
      <c r="D21" s="20" t="s">
        <v>316</v>
      </c>
      <c r="E21" s="20" t="s">
        <v>91</v>
      </c>
      <c r="F21" s="21">
        <v>29443</v>
      </c>
      <c r="G21" s="20" t="s">
        <v>86</v>
      </c>
      <c r="H21" s="20" t="s">
        <v>39</v>
      </c>
      <c r="I21" s="20">
        <v>5600</v>
      </c>
      <c r="J21" s="20">
        <v>2000</v>
      </c>
      <c r="K21" s="20">
        <v>165</v>
      </c>
      <c r="L21" s="20">
        <v>1000</v>
      </c>
    </row>
    <row r="22" spans="1:12" ht="17.25" x14ac:dyDescent="0.2">
      <c r="A22" s="22">
        <v>21</v>
      </c>
      <c r="B22" s="20" t="s">
        <v>272</v>
      </c>
      <c r="C22" s="20" t="s">
        <v>85</v>
      </c>
      <c r="D22" s="20" t="s">
        <v>314</v>
      </c>
      <c r="E22" s="20" t="s">
        <v>317</v>
      </c>
      <c r="F22" s="21">
        <v>35136</v>
      </c>
      <c r="G22" s="20" t="s">
        <v>88</v>
      </c>
      <c r="H22" s="20" t="s">
        <v>271</v>
      </c>
      <c r="I22" s="20">
        <v>2800</v>
      </c>
      <c r="J22" s="20">
        <v>800</v>
      </c>
      <c r="K22" s="20">
        <v>85</v>
      </c>
      <c r="L22" s="20">
        <v>500</v>
      </c>
    </row>
    <row r="23" spans="1:12" ht="17.25" x14ac:dyDescent="0.2">
      <c r="A23" s="22">
        <v>22</v>
      </c>
      <c r="B23" s="20" t="s">
        <v>273</v>
      </c>
      <c r="C23" s="20" t="s">
        <v>90</v>
      </c>
      <c r="D23" s="20" t="s">
        <v>314</v>
      </c>
      <c r="E23" s="20" t="s">
        <v>91</v>
      </c>
      <c r="F23" s="21">
        <v>35665</v>
      </c>
      <c r="G23" s="20" t="s">
        <v>88</v>
      </c>
      <c r="H23" s="20" t="s">
        <v>271</v>
      </c>
      <c r="I23" s="20">
        <v>2800</v>
      </c>
      <c r="J23" s="20">
        <v>800</v>
      </c>
      <c r="K23" s="20">
        <v>82.5</v>
      </c>
      <c r="L23" s="20">
        <v>500</v>
      </c>
    </row>
    <row r="24" spans="1:12" ht="17.25" x14ac:dyDescent="0.2">
      <c r="A24" s="22">
        <v>23</v>
      </c>
      <c r="B24" s="20" t="s">
        <v>274</v>
      </c>
      <c r="C24" s="20" t="s">
        <v>85</v>
      </c>
      <c r="D24" s="20" t="s">
        <v>316</v>
      </c>
      <c r="E24" s="20" t="s">
        <v>317</v>
      </c>
      <c r="F24" s="21">
        <v>35800</v>
      </c>
      <c r="G24" s="20" t="s">
        <v>89</v>
      </c>
      <c r="H24" s="20" t="s">
        <v>271</v>
      </c>
      <c r="I24" s="20">
        <v>2600</v>
      </c>
      <c r="J24" s="20">
        <v>800</v>
      </c>
      <c r="K24" s="20">
        <v>78</v>
      </c>
      <c r="L24" s="20">
        <v>500</v>
      </c>
    </row>
    <row r="25" spans="1:12" ht="17.25" x14ac:dyDescent="0.2">
      <c r="A25" s="22">
        <v>24</v>
      </c>
      <c r="B25" s="20" t="s">
        <v>275</v>
      </c>
      <c r="C25" s="20" t="s">
        <v>90</v>
      </c>
      <c r="D25" s="20" t="s">
        <v>314</v>
      </c>
      <c r="E25" s="20" t="s">
        <v>91</v>
      </c>
      <c r="F25" s="21">
        <v>35399</v>
      </c>
      <c r="G25" s="20" t="s">
        <v>88</v>
      </c>
      <c r="H25" s="20" t="s">
        <v>271</v>
      </c>
      <c r="I25" s="20">
        <v>2800</v>
      </c>
      <c r="J25" s="20">
        <v>800</v>
      </c>
      <c r="K25" s="20">
        <v>88</v>
      </c>
      <c r="L25" s="20">
        <v>500</v>
      </c>
    </row>
    <row r="26" spans="1:12" ht="17.25" x14ac:dyDescent="0.2">
      <c r="A26" s="22">
        <v>25</v>
      </c>
      <c r="B26" s="20" t="s">
        <v>276</v>
      </c>
      <c r="C26" s="20" t="s">
        <v>85</v>
      </c>
      <c r="D26" s="20" t="s">
        <v>314</v>
      </c>
      <c r="E26" s="20" t="s">
        <v>87</v>
      </c>
      <c r="F26" s="21">
        <v>35568</v>
      </c>
      <c r="G26" s="20" t="s">
        <v>88</v>
      </c>
      <c r="H26" s="20" t="s">
        <v>271</v>
      </c>
      <c r="I26" s="20">
        <v>2800</v>
      </c>
      <c r="J26" s="20">
        <v>800</v>
      </c>
      <c r="K26" s="20">
        <v>80</v>
      </c>
      <c r="L26" s="20">
        <v>500</v>
      </c>
    </row>
    <row r="27" spans="1:12" ht="17.25" x14ac:dyDescent="0.2">
      <c r="A27" s="22">
        <v>26</v>
      </c>
      <c r="B27" s="20" t="s">
        <v>277</v>
      </c>
      <c r="C27" s="20" t="s">
        <v>90</v>
      </c>
      <c r="D27" s="20" t="s">
        <v>314</v>
      </c>
      <c r="E27" s="20" t="s">
        <v>315</v>
      </c>
      <c r="F27" s="21">
        <v>36047</v>
      </c>
      <c r="G27" s="20" t="s">
        <v>89</v>
      </c>
      <c r="H27" s="20" t="s">
        <v>271</v>
      </c>
      <c r="I27" s="20">
        <v>2600</v>
      </c>
      <c r="J27" s="20">
        <v>800</v>
      </c>
      <c r="K27" s="20">
        <v>75</v>
      </c>
      <c r="L27" s="20">
        <v>500</v>
      </c>
    </row>
    <row r="28" spans="1:12" ht="17.25" x14ac:dyDescent="0.2">
      <c r="A28" s="22">
        <v>27</v>
      </c>
      <c r="B28" s="20" t="s">
        <v>278</v>
      </c>
      <c r="C28" s="20" t="s">
        <v>85</v>
      </c>
      <c r="D28" s="20" t="s">
        <v>316</v>
      </c>
      <c r="E28" s="20" t="s">
        <v>315</v>
      </c>
      <c r="F28" s="21">
        <v>35273</v>
      </c>
      <c r="G28" s="20" t="s">
        <v>88</v>
      </c>
      <c r="H28" s="20" t="s">
        <v>271</v>
      </c>
      <c r="I28" s="20">
        <v>2800</v>
      </c>
      <c r="J28" s="20">
        <v>800</v>
      </c>
      <c r="K28" s="20">
        <v>83</v>
      </c>
      <c r="L28" s="20">
        <v>500</v>
      </c>
    </row>
    <row r="29" spans="1:12" ht="17.25" x14ac:dyDescent="0.2">
      <c r="A29" s="22">
        <v>28</v>
      </c>
      <c r="B29" s="20" t="s">
        <v>279</v>
      </c>
      <c r="C29" s="20" t="s">
        <v>90</v>
      </c>
      <c r="D29" s="20" t="s">
        <v>314</v>
      </c>
      <c r="E29" s="20" t="s">
        <v>91</v>
      </c>
      <c r="F29" s="21">
        <v>35475</v>
      </c>
      <c r="G29" s="20" t="s">
        <v>88</v>
      </c>
      <c r="H29" s="20" t="s">
        <v>271</v>
      </c>
      <c r="I29" s="20">
        <v>2800</v>
      </c>
      <c r="J29" s="20">
        <v>800</v>
      </c>
      <c r="K29" s="20">
        <v>86.5</v>
      </c>
      <c r="L29" s="20">
        <v>500</v>
      </c>
    </row>
    <row r="30" spans="1:12" ht="17.25" x14ac:dyDescent="0.2">
      <c r="A30" s="22">
        <v>29</v>
      </c>
      <c r="B30" s="20" t="s">
        <v>280</v>
      </c>
      <c r="C30" s="20" t="s">
        <v>85</v>
      </c>
      <c r="D30" s="20" t="s">
        <v>314</v>
      </c>
      <c r="E30" s="20" t="s">
        <v>87</v>
      </c>
      <c r="F30" s="21">
        <v>35886</v>
      </c>
      <c r="G30" s="20" t="s">
        <v>89</v>
      </c>
      <c r="H30" s="20" t="s">
        <v>271</v>
      </c>
      <c r="I30" s="20">
        <v>2600</v>
      </c>
      <c r="J30" s="20">
        <v>800</v>
      </c>
      <c r="K30" s="20">
        <v>76</v>
      </c>
      <c r="L30" s="20">
        <v>500</v>
      </c>
    </row>
    <row r="31" spans="1:12" ht="17.25" x14ac:dyDescent="0.2">
      <c r="A31" s="22">
        <v>30</v>
      </c>
      <c r="B31" s="20" t="s">
        <v>281</v>
      </c>
      <c r="C31" s="20" t="s">
        <v>90</v>
      </c>
      <c r="D31" s="20" t="s">
        <v>314</v>
      </c>
      <c r="E31" s="20" t="s">
        <v>87</v>
      </c>
      <c r="F31" s="21">
        <v>35348</v>
      </c>
      <c r="G31" s="20" t="s">
        <v>88</v>
      </c>
      <c r="H31" s="20" t="s">
        <v>271</v>
      </c>
      <c r="I31" s="20">
        <v>2800</v>
      </c>
      <c r="J31" s="20">
        <v>800</v>
      </c>
      <c r="K31" s="20">
        <v>84</v>
      </c>
      <c r="L31" s="20">
        <v>500</v>
      </c>
    </row>
    <row r="38" spans="21:21" x14ac:dyDescent="0.2">
      <c r="U38" s="14"/>
    </row>
    <row r="39" spans="21:21" x14ac:dyDescent="0.2">
      <c r="U39" s="14"/>
    </row>
    <row r="40" spans="21:21" x14ac:dyDescent="0.2">
      <c r="U40" s="14"/>
    </row>
    <row r="41" spans="21:21" x14ac:dyDescent="0.2">
      <c r="U41" s="14"/>
    </row>
  </sheetData>
  <sortState xmlns:xlrd2="http://schemas.microsoft.com/office/spreadsheetml/2017/richdata2" ref="A2:M31">
    <sortCondition ref="H2:H3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35B0-C993-4BCF-AB27-DE2EEDBA9C95}">
  <dimension ref="A1:K18"/>
  <sheetViews>
    <sheetView zoomScaleNormal="100" workbookViewId="0">
      <selection activeCell="H26" sqref="H26"/>
    </sheetView>
  </sheetViews>
  <sheetFormatPr defaultRowHeight="14.25" x14ac:dyDescent="0.2"/>
  <cols>
    <col min="1" max="5" width="9" style="1"/>
    <col min="6" max="6" width="9.375" style="1" customWidth="1"/>
    <col min="7" max="16384" width="9" style="1"/>
  </cols>
  <sheetData>
    <row r="1" spans="1:11" x14ac:dyDescent="0.2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K1" s="1" t="s">
        <v>167</v>
      </c>
    </row>
    <row r="2" spans="1:11" x14ac:dyDescent="0.2">
      <c r="A2" t="s">
        <v>58</v>
      </c>
      <c r="B2" t="s">
        <v>41</v>
      </c>
      <c r="C2">
        <v>90</v>
      </c>
      <c r="D2">
        <v>68</v>
      </c>
      <c r="E2">
        <v>90</v>
      </c>
      <c r="F2">
        <f t="shared" ref="F2:F18" si="0">C2+D2+E2</f>
        <v>248</v>
      </c>
      <c r="K2" s="1" t="s">
        <v>168</v>
      </c>
    </row>
    <row r="3" spans="1:11" x14ac:dyDescent="0.2">
      <c r="A3" t="s">
        <v>59</v>
      </c>
      <c r="B3" t="s">
        <v>42</v>
      </c>
      <c r="C3">
        <v>96</v>
      </c>
      <c r="D3">
        <v>92</v>
      </c>
      <c r="E3">
        <v>97</v>
      </c>
      <c r="F3">
        <f t="shared" si="0"/>
        <v>285</v>
      </c>
      <c r="K3" s="1" t="s">
        <v>181</v>
      </c>
    </row>
    <row r="4" spans="1:11" x14ac:dyDescent="0.2">
      <c r="A4" t="s">
        <v>60</v>
      </c>
      <c r="B4" t="s">
        <v>43</v>
      </c>
      <c r="C4">
        <v>68</v>
      </c>
      <c r="D4">
        <v>95</v>
      </c>
      <c r="E4">
        <v>96</v>
      </c>
      <c r="F4">
        <f t="shared" si="0"/>
        <v>259</v>
      </c>
    </row>
    <row r="5" spans="1:11" x14ac:dyDescent="0.2">
      <c r="A5" t="s">
        <v>61</v>
      </c>
      <c r="B5" t="s">
        <v>44</v>
      </c>
      <c r="C5">
        <v>78</v>
      </c>
      <c r="D5">
        <v>78</v>
      </c>
      <c r="E5">
        <v>92</v>
      </c>
      <c r="F5">
        <f t="shared" si="0"/>
        <v>248</v>
      </c>
    </row>
    <row r="6" spans="1:11" x14ac:dyDescent="0.2">
      <c r="A6" t="s">
        <v>62</v>
      </c>
      <c r="B6" t="s">
        <v>45</v>
      </c>
      <c r="C6">
        <v>75</v>
      </c>
      <c r="D6">
        <v>79</v>
      </c>
      <c r="E6">
        <v>97</v>
      </c>
      <c r="F6">
        <f t="shared" si="0"/>
        <v>251</v>
      </c>
    </row>
    <row r="7" spans="1:11" x14ac:dyDescent="0.2">
      <c r="A7" t="s">
        <v>63</v>
      </c>
      <c r="B7" t="s">
        <v>46</v>
      </c>
      <c r="C7">
        <v>87</v>
      </c>
      <c r="D7">
        <v>87</v>
      </c>
      <c r="E7">
        <v>95</v>
      </c>
      <c r="F7">
        <f t="shared" si="0"/>
        <v>269</v>
      </c>
    </row>
    <row r="8" spans="1:11" x14ac:dyDescent="0.2">
      <c r="A8" t="s">
        <v>64</v>
      </c>
      <c r="B8" t="s">
        <v>47</v>
      </c>
      <c r="C8">
        <v>85</v>
      </c>
      <c r="D8">
        <v>87</v>
      </c>
      <c r="E8">
        <v>98</v>
      </c>
      <c r="F8">
        <f t="shared" si="0"/>
        <v>270</v>
      </c>
    </row>
    <row r="9" spans="1:11" x14ac:dyDescent="0.2">
      <c r="A9" t="s">
        <v>65</v>
      </c>
      <c r="B9" t="s">
        <v>48</v>
      </c>
      <c r="C9">
        <v>75</v>
      </c>
      <c r="D9">
        <v>76</v>
      </c>
      <c r="E9">
        <v>93</v>
      </c>
      <c r="F9">
        <f t="shared" si="0"/>
        <v>244</v>
      </c>
    </row>
    <row r="10" spans="1:11" x14ac:dyDescent="0.2">
      <c r="A10" t="s">
        <v>66</v>
      </c>
      <c r="B10" t="s">
        <v>49</v>
      </c>
      <c r="C10">
        <v>88</v>
      </c>
      <c r="D10">
        <v>78</v>
      </c>
      <c r="E10">
        <v>90</v>
      </c>
      <c r="F10">
        <f t="shared" si="0"/>
        <v>256</v>
      </c>
    </row>
    <row r="11" spans="1:11" x14ac:dyDescent="0.2">
      <c r="A11" t="s">
        <v>67</v>
      </c>
      <c r="B11" t="s">
        <v>50</v>
      </c>
      <c r="C11">
        <v>96</v>
      </c>
      <c r="D11">
        <v>86</v>
      </c>
      <c r="E11">
        <v>93</v>
      </c>
      <c r="F11">
        <f t="shared" si="0"/>
        <v>275</v>
      </c>
    </row>
    <row r="12" spans="1:11" x14ac:dyDescent="0.2">
      <c r="A12" t="s">
        <v>68</v>
      </c>
      <c r="B12" t="s">
        <v>51</v>
      </c>
      <c r="C12">
        <v>95</v>
      </c>
      <c r="D12">
        <v>84</v>
      </c>
      <c r="E12">
        <v>95</v>
      </c>
      <c r="F12">
        <f t="shared" si="0"/>
        <v>274</v>
      </c>
    </row>
    <row r="13" spans="1:11" x14ac:dyDescent="0.2">
      <c r="A13" t="s">
        <v>69</v>
      </c>
      <c r="B13" t="s">
        <v>52</v>
      </c>
      <c r="C13">
        <v>90</v>
      </c>
      <c r="D13">
        <v>86</v>
      </c>
      <c r="E13">
        <v>91</v>
      </c>
      <c r="F13">
        <f t="shared" si="0"/>
        <v>267</v>
      </c>
    </row>
    <row r="14" spans="1:11" x14ac:dyDescent="0.2">
      <c r="A14" t="s">
        <v>70</v>
      </c>
      <c r="B14" t="s">
        <v>53</v>
      </c>
      <c r="C14">
        <v>86</v>
      </c>
      <c r="D14">
        <v>83</v>
      </c>
      <c r="E14">
        <v>93</v>
      </c>
      <c r="F14">
        <f t="shared" si="0"/>
        <v>262</v>
      </c>
    </row>
    <row r="15" spans="1:11" x14ac:dyDescent="0.2">
      <c r="A15" t="s">
        <v>71</v>
      </c>
      <c r="B15" t="s">
        <v>54</v>
      </c>
      <c r="C15">
        <v>86</v>
      </c>
      <c r="D15">
        <v>80</v>
      </c>
      <c r="E15">
        <v>92</v>
      </c>
      <c r="F15">
        <f t="shared" si="0"/>
        <v>258</v>
      </c>
    </row>
    <row r="16" spans="1:11" x14ac:dyDescent="0.2">
      <c r="A16" t="s">
        <v>72</v>
      </c>
      <c r="B16" t="s">
        <v>55</v>
      </c>
      <c r="C16">
        <v>98</v>
      </c>
      <c r="D16">
        <v>93</v>
      </c>
      <c r="E16">
        <v>96</v>
      </c>
      <c r="F16">
        <f t="shared" si="0"/>
        <v>287</v>
      </c>
    </row>
    <row r="17" spans="1:6" x14ac:dyDescent="0.2">
      <c r="A17" t="s">
        <v>73</v>
      </c>
      <c r="B17" t="s">
        <v>56</v>
      </c>
      <c r="C17">
        <v>97</v>
      </c>
      <c r="D17">
        <v>94</v>
      </c>
      <c r="E17">
        <v>96</v>
      </c>
      <c r="F17">
        <f t="shared" si="0"/>
        <v>287</v>
      </c>
    </row>
    <row r="18" spans="1:6" x14ac:dyDescent="0.2">
      <c r="A18" t="s">
        <v>74</v>
      </c>
      <c r="B18" t="s">
        <v>57</v>
      </c>
      <c r="C18">
        <v>96</v>
      </c>
      <c r="D18">
        <v>93</v>
      </c>
      <c r="E18">
        <v>98</v>
      </c>
      <c r="F18">
        <f t="shared" si="0"/>
        <v>287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603A-B2D6-4548-A73D-81A72F0DE6E5}">
  <dimension ref="A1:A12"/>
  <sheetViews>
    <sheetView workbookViewId="0">
      <selection activeCell="I26" sqref="I26"/>
    </sheetView>
  </sheetViews>
  <sheetFormatPr defaultRowHeight="14.25" x14ac:dyDescent="0.2"/>
  <cols>
    <col min="1" max="16384" width="9" style="1"/>
  </cols>
  <sheetData>
    <row r="1" spans="1:1" x14ac:dyDescent="0.2">
      <c r="A1" s="1" t="s">
        <v>169</v>
      </c>
    </row>
    <row r="2" spans="1:1" x14ac:dyDescent="0.2">
      <c r="A2" s="1" t="s">
        <v>172</v>
      </c>
    </row>
    <row r="3" spans="1:1" x14ac:dyDescent="0.2">
      <c r="A3" s="1" t="s">
        <v>173</v>
      </c>
    </row>
    <row r="4" spans="1:1" x14ac:dyDescent="0.2">
      <c r="A4" s="1" t="s">
        <v>170</v>
      </c>
    </row>
    <row r="5" spans="1:1" x14ac:dyDescent="0.2">
      <c r="A5" s="1" t="s">
        <v>171</v>
      </c>
    </row>
    <row r="10" spans="1:1" x14ac:dyDescent="0.2">
      <c r="A10" s="1" t="s">
        <v>174</v>
      </c>
    </row>
    <row r="11" spans="1:1" x14ac:dyDescent="0.2">
      <c r="A11" s="1" t="s">
        <v>175</v>
      </c>
    </row>
    <row r="12" spans="1:1" x14ac:dyDescent="0.2">
      <c r="A12" s="1" t="s">
        <v>176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4CE3-02B4-414E-8DBB-570449F0C690}">
  <dimension ref="A1:S61"/>
  <sheetViews>
    <sheetView topLeftCell="A28" workbookViewId="0">
      <selection activeCell="D34" sqref="D34"/>
    </sheetView>
  </sheetViews>
  <sheetFormatPr defaultRowHeight="14.25" x14ac:dyDescent="0.2"/>
  <cols>
    <col min="1" max="1" width="7" style="1" bestFit="1" customWidth="1"/>
    <col min="2" max="3" width="5.25" style="1" bestFit="1" customWidth="1"/>
    <col min="4" max="4" width="9" style="1"/>
    <col min="5" max="5" width="11.125" style="7" bestFit="1" customWidth="1"/>
    <col min="6" max="11" width="9" style="1"/>
    <col min="12" max="12" width="11" style="1" bestFit="1" customWidth="1"/>
    <col min="13" max="13" width="9" style="1"/>
    <col min="14" max="14" width="13" style="1" bestFit="1" customWidth="1"/>
    <col min="15" max="17" width="9" style="1"/>
    <col min="18" max="18" width="11" style="1" bestFit="1" customWidth="1"/>
    <col min="19" max="19" width="16.375" style="1" bestFit="1" customWidth="1"/>
    <col min="20" max="26" width="15.625" style="1" bestFit="1" customWidth="1"/>
    <col min="27" max="16384" width="9" style="1"/>
  </cols>
  <sheetData>
    <row r="1" spans="1:19" x14ac:dyDescent="0.2">
      <c r="A1" s="4" t="s">
        <v>182</v>
      </c>
      <c r="B1" s="1" t="s">
        <v>183</v>
      </c>
      <c r="C1" s="1" t="s">
        <v>102</v>
      </c>
      <c r="D1" s="1" t="s">
        <v>184</v>
      </c>
      <c r="E1" s="1" t="s">
        <v>264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</row>
    <row r="2" spans="1:19" x14ac:dyDescent="0.2">
      <c r="A2" s="4" t="s">
        <v>196</v>
      </c>
      <c r="B2" s="1">
        <v>50</v>
      </c>
      <c r="C2" s="1" t="s">
        <v>108</v>
      </c>
      <c r="D2" s="1" t="s">
        <v>197</v>
      </c>
      <c r="E2" s="5">
        <v>40945</v>
      </c>
      <c r="F2" s="1">
        <v>3</v>
      </c>
      <c r="G2" s="1">
        <v>1</v>
      </c>
      <c r="H2" s="1">
        <v>1</v>
      </c>
      <c r="I2" s="1">
        <v>48</v>
      </c>
      <c r="J2" s="1" t="s">
        <v>198</v>
      </c>
      <c r="K2" s="1" t="s">
        <v>199</v>
      </c>
      <c r="L2" s="1" t="s">
        <v>200</v>
      </c>
      <c r="M2" s="1" t="s">
        <v>199</v>
      </c>
      <c r="N2" s="1" t="s">
        <v>199</v>
      </c>
      <c r="O2" s="1" t="s">
        <v>199</v>
      </c>
      <c r="P2" s="1" t="s">
        <v>199</v>
      </c>
    </row>
    <row r="3" spans="1:19" x14ac:dyDescent="0.2">
      <c r="A3" s="4" t="s">
        <v>201</v>
      </c>
      <c r="B3" s="1">
        <v>50</v>
      </c>
      <c r="C3" s="1" t="s">
        <v>105</v>
      </c>
      <c r="D3" s="1" t="s">
        <v>197</v>
      </c>
      <c r="E3" s="5">
        <v>40085</v>
      </c>
      <c r="F3" s="1">
        <v>2</v>
      </c>
      <c r="G3" s="1">
        <v>2</v>
      </c>
      <c r="H3" s="1">
        <v>2</v>
      </c>
      <c r="I3" s="1">
        <v>680</v>
      </c>
      <c r="J3" s="1" t="s">
        <v>198</v>
      </c>
      <c r="K3" s="1" t="s">
        <v>200</v>
      </c>
      <c r="L3" s="1" t="s">
        <v>199</v>
      </c>
      <c r="M3" s="1" t="s">
        <v>198</v>
      </c>
      <c r="N3" s="1" t="s">
        <v>200</v>
      </c>
      <c r="O3" s="1" t="s">
        <v>200</v>
      </c>
      <c r="P3" s="1" t="s">
        <v>200</v>
      </c>
    </row>
    <row r="4" spans="1:19" x14ac:dyDescent="0.2">
      <c r="A4" s="4" t="s">
        <v>202</v>
      </c>
      <c r="B4" s="1">
        <v>27</v>
      </c>
      <c r="C4" s="1" t="s">
        <v>105</v>
      </c>
      <c r="D4" s="1" t="s">
        <v>203</v>
      </c>
      <c r="E4" s="5">
        <v>42895</v>
      </c>
      <c r="F4" s="1">
        <v>3</v>
      </c>
      <c r="G4" s="1">
        <v>3</v>
      </c>
      <c r="H4" s="1">
        <v>3</v>
      </c>
      <c r="I4" s="1">
        <v>260</v>
      </c>
      <c r="J4" s="1" t="s">
        <v>199</v>
      </c>
      <c r="K4" s="1" t="s">
        <v>199</v>
      </c>
      <c r="L4" s="1" t="s">
        <v>204</v>
      </c>
      <c r="M4" s="1" t="s">
        <v>199</v>
      </c>
      <c r="N4" s="1" t="s">
        <v>204</v>
      </c>
      <c r="O4" s="1" t="s">
        <v>198</v>
      </c>
      <c r="P4" s="1" t="s">
        <v>200</v>
      </c>
    </row>
    <row r="5" spans="1:19" x14ac:dyDescent="0.2">
      <c r="A5" s="4" t="s">
        <v>205</v>
      </c>
      <c r="B5" s="1">
        <v>28</v>
      </c>
      <c r="C5" s="1" t="s">
        <v>105</v>
      </c>
      <c r="D5" s="1" t="s">
        <v>203</v>
      </c>
      <c r="E5" s="5">
        <v>43016</v>
      </c>
      <c r="F5" s="1">
        <v>3</v>
      </c>
      <c r="G5" s="1">
        <v>3</v>
      </c>
      <c r="H5" s="1">
        <v>2</v>
      </c>
      <c r="I5" s="1">
        <v>180</v>
      </c>
      <c r="J5" s="1" t="s">
        <v>198</v>
      </c>
      <c r="K5" s="1" t="s">
        <v>200</v>
      </c>
      <c r="L5" s="1" t="s">
        <v>199</v>
      </c>
      <c r="M5" s="1" t="s">
        <v>198</v>
      </c>
      <c r="N5" s="1" t="s">
        <v>200</v>
      </c>
      <c r="O5" s="1" t="s">
        <v>200</v>
      </c>
      <c r="P5" s="1" t="s">
        <v>199</v>
      </c>
    </row>
    <row r="6" spans="1:19" x14ac:dyDescent="0.2">
      <c r="A6" s="4" t="s">
        <v>206</v>
      </c>
      <c r="B6" s="1">
        <v>24</v>
      </c>
      <c r="C6" s="1" t="s">
        <v>105</v>
      </c>
      <c r="D6" s="1" t="s">
        <v>207</v>
      </c>
      <c r="E6" s="5">
        <v>40146</v>
      </c>
      <c r="F6" s="1">
        <v>3</v>
      </c>
      <c r="G6" s="1">
        <v>2</v>
      </c>
      <c r="H6" s="1">
        <v>3</v>
      </c>
      <c r="I6" s="1">
        <v>280</v>
      </c>
      <c r="J6" s="1" t="s">
        <v>198</v>
      </c>
      <c r="K6" s="1" t="s">
        <v>200</v>
      </c>
      <c r="L6" s="1" t="s">
        <v>204</v>
      </c>
      <c r="M6" s="1" t="s">
        <v>200</v>
      </c>
      <c r="N6" s="1" t="s">
        <v>200</v>
      </c>
      <c r="O6" s="1" t="s">
        <v>198</v>
      </c>
      <c r="P6" s="1" t="s">
        <v>199</v>
      </c>
      <c r="S6" s="2"/>
    </row>
    <row r="7" spans="1:19" x14ac:dyDescent="0.2">
      <c r="A7" s="4" t="s">
        <v>208</v>
      </c>
      <c r="B7" s="1">
        <v>36</v>
      </c>
      <c r="C7" s="1" t="s">
        <v>108</v>
      </c>
      <c r="D7" s="1" t="s">
        <v>197</v>
      </c>
      <c r="E7" s="5">
        <v>39052</v>
      </c>
      <c r="F7" s="1">
        <v>3</v>
      </c>
      <c r="G7" s="1">
        <v>2</v>
      </c>
      <c r="H7" s="1">
        <v>1</v>
      </c>
      <c r="I7" s="1">
        <v>50</v>
      </c>
      <c r="J7" s="1" t="s">
        <v>200</v>
      </c>
      <c r="K7" s="1" t="s">
        <v>198</v>
      </c>
      <c r="L7" s="1" t="s">
        <v>198</v>
      </c>
      <c r="M7" s="1" t="s">
        <v>200</v>
      </c>
      <c r="N7" s="1" t="s">
        <v>198</v>
      </c>
      <c r="O7" s="1" t="s">
        <v>199</v>
      </c>
      <c r="P7" s="1" t="s">
        <v>198</v>
      </c>
      <c r="S7" s="2"/>
    </row>
    <row r="8" spans="1:19" x14ac:dyDescent="0.2">
      <c r="A8" s="4" t="s">
        <v>209</v>
      </c>
      <c r="B8" s="1">
        <v>29</v>
      </c>
      <c r="C8" s="1" t="s">
        <v>108</v>
      </c>
      <c r="D8" s="1" t="s">
        <v>210</v>
      </c>
      <c r="E8" s="5">
        <v>36677</v>
      </c>
      <c r="F8" s="1">
        <v>3</v>
      </c>
      <c r="G8" s="1">
        <v>3</v>
      </c>
      <c r="H8" s="1">
        <v>1</v>
      </c>
      <c r="I8" s="1">
        <v>60</v>
      </c>
      <c r="J8" s="1" t="s">
        <v>198</v>
      </c>
      <c r="K8" s="1" t="s">
        <v>198</v>
      </c>
      <c r="L8" s="1" t="s">
        <v>200</v>
      </c>
      <c r="M8" s="1" t="s">
        <v>200</v>
      </c>
      <c r="N8" s="1" t="s">
        <v>198</v>
      </c>
      <c r="O8" s="1" t="s">
        <v>198</v>
      </c>
      <c r="P8" s="1" t="s">
        <v>198</v>
      </c>
      <c r="S8" s="2"/>
    </row>
    <row r="9" spans="1:19" x14ac:dyDescent="0.2">
      <c r="A9" s="4" t="s">
        <v>211</v>
      </c>
      <c r="B9" s="1">
        <v>53</v>
      </c>
      <c r="C9" s="1" t="s">
        <v>105</v>
      </c>
      <c r="D9" s="1" t="s">
        <v>197</v>
      </c>
      <c r="E9" s="5">
        <v>39861</v>
      </c>
      <c r="F9" s="1">
        <v>3</v>
      </c>
      <c r="G9" s="1">
        <v>1</v>
      </c>
      <c r="H9" s="1">
        <v>3</v>
      </c>
      <c r="I9" s="1">
        <v>870</v>
      </c>
      <c r="J9" s="1" t="s">
        <v>198</v>
      </c>
      <c r="K9" s="1" t="s">
        <v>200</v>
      </c>
      <c r="L9" s="1" t="s">
        <v>198</v>
      </c>
      <c r="M9" s="1" t="s">
        <v>200</v>
      </c>
      <c r="N9" s="1" t="s">
        <v>200</v>
      </c>
      <c r="O9" s="1" t="s">
        <v>198</v>
      </c>
      <c r="P9" s="1" t="s">
        <v>200</v>
      </c>
      <c r="S9" s="2"/>
    </row>
    <row r="10" spans="1:19" x14ac:dyDescent="0.2">
      <c r="A10" s="4" t="s">
        <v>212</v>
      </c>
      <c r="B10" s="1">
        <v>32</v>
      </c>
      <c r="C10" s="1" t="s">
        <v>105</v>
      </c>
      <c r="D10" s="6" t="s">
        <v>210</v>
      </c>
      <c r="E10" s="5">
        <v>37867</v>
      </c>
      <c r="F10" s="1">
        <v>3</v>
      </c>
      <c r="G10" s="1">
        <v>2</v>
      </c>
      <c r="H10" s="1">
        <v>1</v>
      </c>
      <c r="I10" s="1">
        <v>120</v>
      </c>
      <c r="J10" s="1" t="s">
        <v>198</v>
      </c>
      <c r="K10" s="1" t="s">
        <v>198</v>
      </c>
      <c r="L10" s="1" t="s">
        <v>200</v>
      </c>
      <c r="M10" s="1" t="s">
        <v>198</v>
      </c>
      <c r="N10" s="1" t="s">
        <v>200</v>
      </c>
      <c r="O10" s="1" t="s">
        <v>198</v>
      </c>
      <c r="P10" s="1" t="s">
        <v>200</v>
      </c>
      <c r="S10" s="2"/>
    </row>
    <row r="11" spans="1:19" x14ac:dyDescent="0.2">
      <c r="A11" s="4" t="s">
        <v>213</v>
      </c>
      <c r="B11" s="1">
        <v>45</v>
      </c>
      <c r="C11" s="1" t="s">
        <v>108</v>
      </c>
      <c r="D11" s="6" t="s">
        <v>203</v>
      </c>
      <c r="E11" s="5">
        <v>43561</v>
      </c>
      <c r="F11" s="1">
        <v>3</v>
      </c>
      <c r="G11" s="1">
        <v>3</v>
      </c>
      <c r="H11" s="1">
        <v>1</v>
      </c>
      <c r="I11" s="1">
        <v>100</v>
      </c>
      <c r="J11" s="1" t="s">
        <v>200</v>
      </c>
      <c r="K11" s="1" t="s">
        <v>198</v>
      </c>
      <c r="L11" s="1" t="s">
        <v>198</v>
      </c>
      <c r="M11" s="1" t="s">
        <v>200</v>
      </c>
      <c r="N11" s="1" t="s">
        <v>198</v>
      </c>
      <c r="O11" s="1" t="s">
        <v>198</v>
      </c>
      <c r="P11" s="1" t="s">
        <v>198</v>
      </c>
      <c r="S11" s="2"/>
    </row>
    <row r="12" spans="1:19" x14ac:dyDescent="0.2">
      <c r="A12" s="4" t="s">
        <v>214</v>
      </c>
      <c r="B12" s="1">
        <v>20</v>
      </c>
      <c r="C12" s="1" t="s">
        <v>108</v>
      </c>
      <c r="D12" s="6" t="s">
        <v>210</v>
      </c>
      <c r="E12" s="5">
        <v>37417</v>
      </c>
      <c r="F12" s="1">
        <v>3</v>
      </c>
      <c r="G12" s="1">
        <v>2</v>
      </c>
      <c r="H12" s="1">
        <v>2</v>
      </c>
      <c r="I12" s="1">
        <v>120</v>
      </c>
      <c r="J12" s="1" t="s">
        <v>198</v>
      </c>
      <c r="K12" s="1" t="s">
        <v>200</v>
      </c>
      <c r="L12" s="1" t="s">
        <v>200</v>
      </c>
      <c r="M12" s="1" t="s">
        <v>200</v>
      </c>
      <c r="N12" s="1" t="s">
        <v>198</v>
      </c>
      <c r="O12" s="1" t="s">
        <v>198</v>
      </c>
      <c r="P12" s="1" t="s">
        <v>198</v>
      </c>
      <c r="S12" s="2"/>
    </row>
    <row r="13" spans="1:19" x14ac:dyDescent="0.2">
      <c r="A13" s="4" t="s">
        <v>215</v>
      </c>
      <c r="B13" s="1">
        <v>33</v>
      </c>
      <c r="C13" s="1" t="s">
        <v>108</v>
      </c>
      <c r="D13" s="6" t="s">
        <v>203</v>
      </c>
      <c r="E13" s="5">
        <v>41971</v>
      </c>
      <c r="F13" s="1">
        <v>3</v>
      </c>
      <c r="G13" s="1">
        <v>2</v>
      </c>
      <c r="H13" s="1">
        <v>2</v>
      </c>
      <c r="I13" s="1">
        <v>150</v>
      </c>
      <c r="J13" s="1" t="s">
        <v>198</v>
      </c>
      <c r="K13" s="1" t="s">
        <v>198</v>
      </c>
      <c r="L13" s="1" t="s">
        <v>200</v>
      </c>
      <c r="M13" s="1" t="s">
        <v>200</v>
      </c>
      <c r="N13" s="1" t="s">
        <v>200</v>
      </c>
      <c r="O13" s="1" t="s">
        <v>198</v>
      </c>
      <c r="P13" s="1" t="s">
        <v>198</v>
      </c>
    </row>
    <row r="14" spans="1:19" x14ac:dyDescent="0.2">
      <c r="A14" s="4" t="s">
        <v>216</v>
      </c>
      <c r="B14" s="1">
        <v>23</v>
      </c>
      <c r="C14" s="1" t="s">
        <v>105</v>
      </c>
      <c r="D14" s="6" t="s">
        <v>210</v>
      </c>
      <c r="E14" s="5">
        <v>38717</v>
      </c>
      <c r="F14" s="1">
        <v>3</v>
      </c>
      <c r="G14" s="1">
        <v>3</v>
      </c>
      <c r="H14" s="1">
        <v>2</v>
      </c>
      <c r="I14" s="1">
        <v>100</v>
      </c>
      <c r="J14" s="1" t="s">
        <v>198</v>
      </c>
      <c r="K14" s="1" t="s">
        <v>200</v>
      </c>
      <c r="L14" s="1" t="s">
        <v>198</v>
      </c>
      <c r="M14" s="1" t="s">
        <v>200</v>
      </c>
      <c r="N14" s="1" t="s">
        <v>200</v>
      </c>
      <c r="O14" s="1" t="s">
        <v>198</v>
      </c>
      <c r="P14" s="1" t="s">
        <v>198</v>
      </c>
    </row>
    <row r="15" spans="1:19" x14ac:dyDescent="0.2">
      <c r="A15" s="4" t="s">
        <v>217</v>
      </c>
      <c r="B15" s="1">
        <v>40</v>
      </c>
      <c r="C15" s="1" t="s">
        <v>105</v>
      </c>
      <c r="D15" s="6" t="s">
        <v>210</v>
      </c>
      <c r="E15" s="5">
        <v>36811</v>
      </c>
      <c r="F15" s="1">
        <v>3</v>
      </c>
      <c r="G15" s="1">
        <v>1</v>
      </c>
      <c r="H15" s="1">
        <v>2</v>
      </c>
      <c r="I15" s="1">
        <v>280</v>
      </c>
      <c r="J15" s="1" t="s">
        <v>198</v>
      </c>
      <c r="K15" s="1" t="s">
        <v>200</v>
      </c>
      <c r="L15" s="1" t="s">
        <v>198</v>
      </c>
      <c r="M15" s="1" t="s">
        <v>198</v>
      </c>
      <c r="N15" s="1" t="s">
        <v>200</v>
      </c>
      <c r="O15" s="1" t="s">
        <v>198</v>
      </c>
      <c r="P15" s="1" t="s">
        <v>200</v>
      </c>
    </row>
    <row r="16" spans="1:19" x14ac:dyDescent="0.2">
      <c r="A16" s="4" t="s">
        <v>218</v>
      </c>
      <c r="B16" s="1">
        <v>42</v>
      </c>
      <c r="C16" s="1" t="s">
        <v>108</v>
      </c>
      <c r="D16" s="1" t="s">
        <v>197</v>
      </c>
      <c r="E16" s="5">
        <v>43610</v>
      </c>
      <c r="F16" s="1">
        <v>3</v>
      </c>
      <c r="G16" s="1">
        <v>1</v>
      </c>
      <c r="H16" s="1">
        <v>2</v>
      </c>
      <c r="I16" s="1">
        <v>200</v>
      </c>
      <c r="J16" s="1" t="s">
        <v>198</v>
      </c>
      <c r="K16" s="1" t="s">
        <v>200</v>
      </c>
      <c r="L16" s="1" t="s">
        <v>199</v>
      </c>
      <c r="M16" s="1" t="s">
        <v>200</v>
      </c>
      <c r="N16" s="1" t="s">
        <v>200</v>
      </c>
      <c r="O16" s="1" t="s">
        <v>199</v>
      </c>
      <c r="P16" s="1" t="s">
        <v>199</v>
      </c>
    </row>
    <row r="17" spans="1:16" x14ac:dyDescent="0.2">
      <c r="A17" s="4" t="s">
        <v>219</v>
      </c>
      <c r="B17" s="1">
        <v>46</v>
      </c>
      <c r="C17" s="1" t="s">
        <v>105</v>
      </c>
      <c r="D17" s="1" t="s">
        <v>203</v>
      </c>
      <c r="E17" s="5">
        <v>43111</v>
      </c>
      <c r="F17" s="1">
        <v>2</v>
      </c>
      <c r="G17" s="1">
        <v>1</v>
      </c>
      <c r="H17" s="1">
        <v>2</v>
      </c>
      <c r="I17" s="1">
        <v>380</v>
      </c>
      <c r="J17" s="1" t="s">
        <v>198</v>
      </c>
      <c r="K17" s="1" t="s">
        <v>200</v>
      </c>
      <c r="L17" s="1" t="s">
        <v>199</v>
      </c>
      <c r="M17" s="1" t="s">
        <v>198</v>
      </c>
      <c r="N17" s="1" t="s">
        <v>200</v>
      </c>
      <c r="O17" s="1" t="s">
        <v>198</v>
      </c>
      <c r="P17" s="1" t="s">
        <v>200</v>
      </c>
    </row>
    <row r="18" spans="1:16" x14ac:dyDescent="0.2">
      <c r="A18" s="4" t="s">
        <v>220</v>
      </c>
      <c r="B18" s="1">
        <v>27</v>
      </c>
      <c r="C18" s="1" t="s">
        <v>108</v>
      </c>
      <c r="D18" s="1" t="s">
        <v>207</v>
      </c>
      <c r="E18" s="5">
        <v>42037</v>
      </c>
      <c r="F18" s="1">
        <v>3</v>
      </c>
      <c r="G18" s="1">
        <v>3</v>
      </c>
      <c r="H18" s="1">
        <v>2</v>
      </c>
      <c r="I18" s="1">
        <v>210</v>
      </c>
      <c r="J18" s="1" t="s">
        <v>199</v>
      </c>
      <c r="K18" s="1" t="s">
        <v>200</v>
      </c>
      <c r="L18" s="1" t="s">
        <v>198</v>
      </c>
      <c r="M18" s="1" t="s">
        <v>200</v>
      </c>
      <c r="N18" s="1" t="s">
        <v>204</v>
      </c>
      <c r="O18" s="1" t="s">
        <v>198</v>
      </c>
      <c r="P18" s="1" t="s">
        <v>199</v>
      </c>
    </row>
    <row r="19" spans="1:16" x14ac:dyDescent="0.2">
      <c r="A19" s="4" t="s">
        <v>221</v>
      </c>
      <c r="B19" s="1">
        <v>33</v>
      </c>
      <c r="C19" s="1" t="s">
        <v>108</v>
      </c>
      <c r="D19" s="1" t="s">
        <v>203</v>
      </c>
      <c r="E19" s="5">
        <v>42820</v>
      </c>
      <c r="F19" s="1">
        <v>3</v>
      </c>
      <c r="G19" s="1">
        <v>2</v>
      </c>
      <c r="H19" s="1">
        <v>1</v>
      </c>
      <c r="I19" s="1">
        <v>48</v>
      </c>
      <c r="J19" s="1" t="s">
        <v>198</v>
      </c>
      <c r="K19" s="1" t="s">
        <v>199</v>
      </c>
      <c r="L19" s="1" t="s">
        <v>200</v>
      </c>
      <c r="M19" s="1" t="s">
        <v>198</v>
      </c>
      <c r="N19" s="1" t="s">
        <v>199</v>
      </c>
      <c r="O19" s="1" t="s">
        <v>199</v>
      </c>
      <c r="P19" s="1" t="s">
        <v>199</v>
      </c>
    </row>
    <row r="20" spans="1:16" x14ac:dyDescent="0.2">
      <c r="A20" s="4" t="s">
        <v>222</v>
      </c>
      <c r="B20" s="1">
        <v>18</v>
      </c>
      <c r="C20" s="1" t="s">
        <v>105</v>
      </c>
      <c r="D20" s="1" t="s">
        <v>207</v>
      </c>
      <c r="E20" s="5">
        <v>41940</v>
      </c>
      <c r="F20" s="1">
        <v>3</v>
      </c>
      <c r="G20" s="1">
        <v>2</v>
      </c>
      <c r="H20" s="1">
        <v>3</v>
      </c>
      <c r="I20" s="1">
        <v>160</v>
      </c>
      <c r="J20" s="1" t="s">
        <v>198</v>
      </c>
      <c r="K20" s="1" t="s">
        <v>200</v>
      </c>
      <c r="L20" s="1" t="s">
        <v>198</v>
      </c>
      <c r="M20" s="1" t="s">
        <v>198</v>
      </c>
      <c r="N20" s="1" t="s">
        <v>200</v>
      </c>
      <c r="O20" s="1" t="s">
        <v>200</v>
      </c>
      <c r="P20" s="1" t="s">
        <v>199</v>
      </c>
    </row>
    <row r="21" spans="1:16" x14ac:dyDescent="0.2">
      <c r="A21" s="4" t="s">
        <v>223</v>
      </c>
      <c r="B21" s="1">
        <v>35</v>
      </c>
      <c r="C21" s="1" t="s">
        <v>108</v>
      </c>
      <c r="D21" s="1" t="s">
        <v>197</v>
      </c>
      <c r="E21" s="5">
        <v>40444</v>
      </c>
      <c r="F21" s="1">
        <v>3</v>
      </c>
      <c r="G21" s="1">
        <v>2</v>
      </c>
      <c r="H21" s="1">
        <v>1</v>
      </c>
      <c r="I21" s="1">
        <v>48</v>
      </c>
      <c r="J21" s="1" t="s">
        <v>198</v>
      </c>
      <c r="K21" s="1" t="s">
        <v>199</v>
      </c>
      <c r="L21" s="1" t="s">
        <v>200</v>
      </c>
      <c r="M21" s="1" t="s">
        <v>198</v>
      </c>
      <c r="N21" s="1" t="s">
        <v>199</v>
      </c>
      <c r="O21" s="1" t="s">
        <v>199</v>
      </c>
      <c r="P21" s="1" t="s">
        <v>198</v>
      </c>
    </row>
    <row r="22" spans="1:16" x14ac:dyDescent="0.2">
      <c r="A22" s="4" t="s">
        <v>224</v>
      </c>
      <c r="B22" s="1">
        <v>17</v>
      </c>
      <c r="C22" s="1" t="s">
        <v>108</v>
      </c>
      <c r="D22" s="1" t="s">
        <v>210</v>
      </c>
      <c r="E22" s="5">
        <v>36758</v>
      </c>
      <c r="F22" s="1">
        <v>3</v>
      </c>
      <c r="G22" s="1">
        <v>1</v>
      </c>
      <c r="H22" s="1">
        <v>1</v>
      </c>
      <c r="I22" s="1">
        <v>48</v>
      </c>
      <c r="J22" s="1" t="s">
        <v>198</v>
      </c>
      <c r="K22" s="1" t="s">
        <v>198</v>
      </c>
      <c r="L22" s="1" t="s">
        <v>200</v>
      </c>
      <c r="M22" s="1" t="s">
        <v>198</v>
      </c>
      <c r="N22" s="1" t="s">
        <v>198</v>
      </c>
      <c r="O22" s="1" t="s">
        <v>198</v>
      </c>
      <c r="P22" s="1" t="s">
        <v>198</v>
      </c>
    </row>
    <row r="23" spans="1:16" x14ac:dyDescent="0.2">
      <c r="A23" s="4" t="s">
        <v>225</v>
      </c>
      <c r="B23" s="1">
        <v>47</v>
      </c>
      <c r="C23" s="1" t="s">
        <v>108</v>
      </c>
      <c r="D23" s="1" t="s">
        <v>197</v>
      </c>
      <c r="E23" s="5">
        <v>38062</v>
      </c>
      <c r="F23" s="1">
        <v>3</v>
      </c>
      <c r="G23" s="1">
        <v>1</v>
      </c>
      <c r="H23" s="1">
        <v>1</v>
      </c>
      <c r="I23" s="1">
        <v>48</v>
      </c>
      <c r="J23" s="1" t="s">
        <v>198</v>
      </c>
      <c r="K23" s="1" t="s">
        <v>198</v>
      </c>
      <c r="L23" s="1" t="s">
        <v>200</v>
      </c>
      <c r="M23" s="1" t="s">
        <v>198</v>
      </c>
      <c r="N23" s="1" t="s">
        <v>198</v>
      </c>
      <c r="O23" s="1" t="s">
        <v>198</v>
      </c>
      <c r="P23" s="1" t="s">
        <v>198</v>
      </c>
    </row>
    <row r="24" spans="1:16" x14ac:dyDescent="0.2">
      <c r="A24" s="4" t="s">
        <v>226</v>
      </c>
      <c r="B24" s="1">
        <v>35</v>
      </c>
      <c r="C24" s="1" t="s">
        <v>105</v>
      </c>
      <c r="D24" s="6" t="s">
        <v>197</v>
      </c>
      <c r="E24" s="5">
        <v>37911</v>
      </c>
      <c r="F24" s="1">
        <v>3</v>
      </c>
      <c r="G24" s="1">
        <v>1</v>
      </c>
      <c r="H24" s="1">
        <v>2</v>
      </c>
      <c r="I24" s="1">
        <v>280</v>
      </c>
      <c r="J24" s="1" t="s">
        <v>198</v>
      </c>
      <c r="K24" s="1" t="s">
        <v>200</v>
      </c>
      <c r="L24" s="1" t="s">
        <v>198</v>
      </c>
      <c r="M24" s="1" t="s">
        <v>198</v>
      </c>
      <c r="N24" s="1" t="s">
        <v>200</v>
      </c>
      <c r="O24" s="1" t="s">
        <v>198</v>
      </c>
      <c r="P24" s="1" t="s">
        <v>200</v>
      </c>
    </row>
    <row r="25" spans="1:16" x14ac:dyDescent="0.2">
      <c r="A25" s="4" t="s">
        <v>227</v>
      </c>
      <c r="B25" s="1">
        <v>19</v>
      </c>
      <c r="C25" s="1" t="s">
        <v>108</v>
      </c>
      <c r="D25" s="6" t="s">
        <v>210</v>
      </c>
      <c r="E25" s="5">
        <v>42927</v>
      </c>
      <c r="F25" s="1">
        <v>3</v>
      </c>
      <c r="G25" s="1">
        <v>2</v>
      </c>
      <c r="H25" s="1">
        <v>1</v>
      </c>
      <c r="I25" s="1">
        <v>68</v>
      </c>
      <c r="J25" s="1" t="s">
        <v>198</v>
      </c>
      <c r="K25" s="1" t="s">
        <v>198</v>
      </c>
      <c r="L25" s="1" t="s">
        <v>200</v>
      </c>
      <c r="M25" s="1" t="s">
        <v>200</v>
      </c>
      <c r="N25" s="1" t="s">
        <v>198</v>
      </c>
      <c r="O25" s="1" t="s">
        <v>198</v>
      </c>
      <c r="P25" s="1" t="s">
        <v>198</v>
      </c>
    </row>
    <row r="26" spans="1:16" x14ac:dyDescent="0.2">
      <c r="A26" s="4" t="s">
        <v>228</v>
      </c>
      <c r="B26" s="1">
        <v>20</v>
      </c>
      <c r="C26" s="1" t="s">
        <v>108</v>
      </c>
      <c r="D26" s="6" t="s">
        <v>210</v>
      </c>
      <c r="E26" s="5">
        <v>41560</v>
      </c>
      <c r="F26" s="1">
        <v>3</v>
      </c>
      <c r="G26" s="1">
        <v>1</v>
      </c>
      <c r="H26" s="1">
        <v>2</v>
      </c>
      <c r="I26" s="1">
        <v>100</v>
      </c>
      <c r="J26" s="1" t="s">
        <v>198</v>
      </c>
      <c r="K26" s="1" t="s">
        <v>200</v>
      </c>
      <c r="L26" s="1" t="s">
        <v>198</v>
      </c>
      <c r="M26" s="1" t="s">
        <v>200</v>
      </c>
      <c r="N26" s="1" t="s">
        <v>198</v>
      </c>
      <c r="O26" s="1" t="s">
        <v>198</v>
      </c>
      <c r="P26" s="1" t="s">
        <v>198</v>
      </c>
    </row>
    <row r="27" spans="1:16" x14ac:dyDescent="0.2">
      <c r="A27" s="4" t="s">
        <v>229</v>
      </c>
      <c r="B27" s="1">
        <v>33</v>
      </c>
      <c r="C27" s="1" t="s">
        <v>105</v>
      </c>
      <c r="D27" s="6" t="s">
        <v>210</v>
      </c>
      <c r="E27" s="5">
        <v>42886</v>
      </c>
      <c r="F27" s="1">
        <v>3</v>
      </c>
      <c r="G27" s="1">
        <v>1</v>
      </c>
      <c r="H27" s="1">
        <v>1</v>
      </c>
      <c r="I27" s="1">
        <v>100</v>
      </c>
      <c r="J27" s="1" t="s">
        <v>198</v>
      </c>
      <c r="K27" s="1" t="s">
        <v>200</v>
      </c>
      <c r="L27" s="1" t="s">
        <v>198</v>
      </c>
      <c r="M27" s="1" t="s">
        <v>230</v>
      </c>
      <c r="N27" s="1" t="s">
        <v>200</v>
      </c>
      <c r="O27" s="1" t="s">
        <v>200</v>
      </c>
      <c r="P27" s="1" t="s">
        <v>198</v>
      </c>
    </row>
    <row r="28" spans="1:16" x14ac:dyDescent="0.2">
      <c r="A28" s="4" t="s">
        <v>231</v>
      </c>
      <c r="B28" s="1">
        <v>23</v>
      </c>
      <c r="C28" s="1" t="s">
        <v>105</v>
      </c>
      <c r="D28" s="6" t="s">
        <v>210</v>
      </c>
      <c r="E28" s="5">
        <v>39345</v>
      </c>
      <c r="F28" s="1">
        <v>3</v>
      </c>
      <c r="G28" s="1">
        <v>1</v>
      </c>
      <c r="H28" s="1">
        <v>1</v>
      </c>
      <c r="I28" s="1">
        <v>80</v>
      </c>
      <c r="J28" s="1" t="s">
        <v>198</v>
      </c>
      <c r="K28" s="1" t="s">
        <v>198</v>
      </c>
      <c r="L28" s="1" t="s">
        <v>200</v>
      </c>
      <c r="M28" s="1" t="s">
        <v>198</v>
      </c>
      <c r="N28" s="1" t="s">
        <v>200</v>
      </c>
      <c r="O28" s="1" t="s">
        <v>200</v>
      </c>
      <c r="P28" s="1" t="s">
        <v>198</v>
      </c>
    </row>
    <row r="29" spans="1:16" x14ac:dyDescent="0.2">
      <c r="A29" s="4" t="s">
        <v>232</v>
      </c>
      <c r="B29" s="1">
        <v>57</v>
      </c>
      <c r="C29" s="1" t="s">
        <v>108</v>
      </c>
      <c r="D29" s="6" t="s">
        <v>197</v>
      </c>
      <c r="E29" s="5">
        <v>39725</v>
      </c>
      <c r="F29" s="1">
        <v>3</v>
      </c>
      <c r="G29" s="1">
        <v>1</v>
      </c>
      <c r="H29" s="1">
        <v>2</v>
      </c>
      <c r="I29" s="1">
        <v>212</v>
      </c>
      <c r="J29" s="1" t="s">
        <v>198</v>
      </c>
      <c r="K29" s="1" t="s">
        <v>200</v>
      </c>
      <c r="L29" s="1" t="s">
        <v>198</v>
      </c>
      <c r="M29" s="1" t="s">
        <v>200</v>
      </c>
      <c r="N29" s="1" t="s">
        <v>200</v>
      </c>
      <c r="O29" s="1" t="s">
        <v>200</v>
      </c>
      <c r="P29" s="1" t="s">
        <v>198</v>
      </c>
    </row>
    <row r="30" spans="1:16" x14ac:dyDescent="0.2">
      <c r="A30" s="4" t="s">
        <v>233</v>
      </c>
      <c r="B30" s="1">
        <v>37</v>
      </c>
      <c r="C30" s="1" t="s">
        <v>105</v>
      </c>
      <c r="D30" s="6" t="s">
        <v>197</v>
      </c>
      <c r="E30" s="5">
        <v>41797</v>
      </c>
      <c r="F30" s="1">
        <v>3</v>
      </c>
      <c r="G30" s="1">
        <v>1</v>
      </c>
      <c r="H30" s="1">
        <v>2</v>
      </c>
      <c r="I30" s="1">
        <v>280</v>
      </c>
      <c r="J30" s="1" t="s">
        <v>198</v>
      </c>
      <c r="K30" s="1" t="s">
        <v>200</v>
      </c>
      <c r="L30" s="1" t="s">
        <v>198</v>
      </c>
      <c r="M30" s="1" t="s">
        <v>198</v>
      </c>
      <c r="N30" s="1" t="s">
        <v>200</v>
      </c>
      <c r="O30" s="1" t="s">
        <v>198</v>
      </c>
      <c r="P30" s="1" t="s">
        <v>200</v>
      </c>
    </row>
    <row r="31" spans="1:16" x14ac:dyDescent="0.2">
      <c r="A31" s="4" t="s">
        <v>234</v>
      </c>
      <c r="B31" s="1">
        <v>48</v>
      </c>
      <c r="C31" s="1" t="s">
        <v>105</v>
      </c>
      <c r="D31" s="6" t="s">
        <v>203</v>
      </c>
      <c r="E31" s="5">
        <v>42064</v>
      </c>
      <c r="F31" s="1">
        <v>3</v>
      </c>
      <c r="G31" s="1">
        <v>2</v>
      </c>
      <c r="H31" s="1">
        <v>3</v>
      </c>
      <c r="I31" s="1">
        <v>420</v>
      </c>
      <c r="J31" s="1" t="s">
        <v>198</v>
      </c>
      <c r="K31" s="1" t="s">
        <v>200</v>
      </c>
      <c r="L31" s="1" t="s">
        <v>198</v>
      </c>
      <c r="M31" s="1" t="s">
        <v>198</v>
      </c>
      <c r="N31" s="1" t="s">
        <v>200</v>
      </c>
      <c r="O31" s="1" t="s">
        <v>198</v>
      </c>
      <c r="P31" s="1" t="s">
        <v>200</v>
      </c>
    </row>
    <row r="32" spans="1:16" x14ac:dyDescent="0.2">
      <c r="A32" s="4" t="s">
        <v>235</v>
      </c>
      <c r="B32" s="1">
        <v>54</v>
      </c>
      <c r="C32" s="1" t="s">
        <v>108</v>
      </c>
      <c r="D32" s="1" t="s">
        <v>197</v>
      </c>
      <c r="E32" s="5">
        <v>36758</v>
      </c>
      <c r="F32" s="1">
        <v>3</v>
      </c>
      <c r="G32" s="1">
        <v>1</v>
      </c>
      <c r="H32" s="1">
        <v>1</v>
      </c>
      <c r="I32" s="1">
        <v>48</v>
      </c>
      <c r="J32" s="1" t="s">
        <v>198</v>
      </c>
      <c r="K32" s="1" t="s">
        <v>199</v>
      </c>
      <c r="L32" s="1" t="s">
        <v>200</v>
      </c>
      <c r="M32" s="1" t="s">
        <v>199</v>
      </c>
      <c r="N32" s="1" t="s">
        <v>199</v>
      </c>
      <c r="O32" s="1" t="s">
        <v>199</v>
      </c>
      <c r="P32" s="1" t="s">
        <v>199</v>
      </c>
    </row>
    <row r="33" spans="1:16" x14ac:dyDescent="0.2">
      <c r="A33" s="4" t="s">
        <v>236</v>
      </c>
      <c r="B33" s="1">
        <v>50</v>
      </c>
      <c r="C33" s="1" t="s">
        <v>105</v>
      </c>
      <c r="D33" s="1" t="s">
        <v>197</v>
      </c>
      <c r="E33" s="5">
        <v>38062</v>
      </c>
      <c r="F33" s="1">
        <v>2</v>
      </c>
      <c r="G33" s="1">
        <v>2</v>
      </c>
      <c r="H33" s="1">
        <v>1</v>
      </c>
      <c r="I33" s="1">
        <v>680</v>
      </c>
      <c r="J33" s="1" t="s">
        <v>198</v>
      </c>
      <c r="K33" s="1" t="s">
        <v>200</v>
      </c>
      <c r="L33" s="1" t="s">
        <v>199</v>
      </c>
      <c r="M33" s="1" t="s">
        <v>198</v>
      </c>
      <c r="N33" s="1" t="s">
        <v>200</v>
      </c>
      <c r="O33" s="1" t="s">
        <v>200</v>
      </c>
      <c r="P33" s="1" t="s">
        <v>200</v>
      </c>
    </row>
    <row r="34" spans="1:16" x14ac:dyDescent="0.2">
      <c r="A34" s="4" t="s">
        <v>237</v>
      </c>
      <c r="B34" s="1">
        <v>27</v>
      </c>
      <c r="C34" s="1" t="s">
        <v>105</v>
      </c>
      <c r="D34" s="1" t="s">
        <v>203</v>
      </c>
      <c r="E34" s="5">
        <v>37911</v>
      </c>
      <c r="F34" s="1">
        <v>3</v>
      </c>
      <c r="G34" s="1">
        <v>3</v>
      </c>
      <c r="H34" s="1">
        <v>1</v>
      </c>
      <c r="I34" s="1">
        <v>260</v>
      </c>
      <c r="J34" s="1" t="s">
        <v>199</v>
      </c>
      <c r="K34" s="1" t="s">
        <v>199</v>
      </c>
      <c r="L34" s="1" t="s">
        <v>204</v>
      </c>
      <c r="M34" s="1" t="s">
        <v>199</v>
      </c>
      <c r="N34" s="1" t="s">
        <v>204</v>
      </c>
      <c r="O34" s="1" t="s">
        <v>198</v>
      </c>
      <c r="P34" s="1" t="s">
        <v>200</v>
      </c>
    </row>
    <row r="35" spans="1:16" x14ac:dyDescent="0.2">
      <c r="A35" s="4" t="s">
        <v>238</v>
      </c>
      <c r="B35" s="1">
        <v>28</v>
      </c>
      <c r="C35" s="1" t="s">
        <v>105</v>
      </c>
      <c r="D35" s="1" t="s">
        <v>203</v>
      </c>
      <c r="E35" s="5">
        <v>42927</v>
      </c>
      <c r="F35" s="1">
        <v>3</v>
      </c>
      <c r="G35" s="1">
        <v>3</v>
      </c>
      <c r="H35" s="1">
        <v>1</v>
      </c>
      <c r="I35" s="1">
        <v>180</v>
      </c>
      <c r="J35" s="1" t="s">
        <v>198</v>
      </c>
      <c r="K35" s="1" t="s">
        <v>200</v>
      </c>
      <c r="L35" s="1" t="s">
        <v>199</v>
      </c>
      <c r="M35" s="1" t="s">
        <v>198</v>
      </c>
      <c r="N35" s="1" t="s">
        <v>200</v>
      </c>
      <c r="O35" s="1" t="s">
        <v>200</v>
      </c>
      <c r="P35" s="1" t="s">
        <v>199</v>
      </c>
    </row>
    <row r="36" spans="1:16" x14ac:dyDescent="0.2">
      <c r="A36" s="4" t="s">
        <v>239</v>
      </c>
      <c r="B36" s="1">
        <v>24</v>
      </c>
      <c r="C36" s="1" t="s">
        <v>105</v>
      </c>
      <c r="D36" s="1" t="s">
        <v>207</v>
      </c>
      <c r="E36" s="5">
        <v>41560</v>
      </c>
      <c r="F36" s="1">
        <v>3</v>
      </c>
      <c r="G36" s="1">
        <v>2</v>
      </c>
      <c r="H36" s="1">
        <v>1</v>
      </c>
      <c r="I36" s="1">
        <v>280</v>
      </c>
      <c r="J36" s="1" t="s">
        <v>198</v>
      </c>
      <c r="K36" s="1" t="s">
        <v>200</v>
      </c>
      <c r="L36" s="1" t="s">
        <v>204</v>
      </c>
      <c r="M36" s="1" t="s">
        <v>200</v>
      </c>
      <c r="N36" s="1" t="s">
        <v>200</v>
      </c>
      <c r="O36" s="1" t="s">
        <v>198</v>
      </c>
      <c r="P36" s="1" t="s">
        <v>199</v>
      </c>
    </row>
    <row r="37" spans="1:16" x14ac:dyDescent="0.2">
      <c r="A37" s="4" t="s">
        <v>240</v>
      </c>
      <c r="B37" s="1">
        <v>36</v>
      </c>
      <c r="C37" s="1" t="s">
        <v>108</v>
      </c>
      <c r="D37" s="1" t="s">
        <v>197</v>
      </c>
      <c r="E37" s="5">
        <v>42886</v>
      </c>
      <c r="F37" s="1">
        <v>3</v>
      </c>
      <c r="G37" s="1">
        <v>2</v>
      </c>
      <c r="H37" s="1">
        <v>1</v>
      </c>
      <c r="I37" s="1">
        <v>50</v>
      </c>
      <c r="J37" s="1" t="s">
        <v>200</v>
      </c>
      <c r="K37" s="1" t="s">
        <v>198</v>
      </c>
      <c r="L37" s="1" t="s">
        <v>198</v>
      </c>
      <c r="M37" s="1" t="s">
        <v>200</v>
      </c>
      <c r="N37" s="1" t="s">
        <v>198</v>
      </c>
      <c r="O37" s="1" t="s">
        <v>199</v>
      </c>
      <c r="P37" s="1" t="s">
        <v>198</v>
      </c>
    </row>
    <row r="38" spans="1:16" x14ac:dyDescent="0.2">
      <c r="A38" s="4" t="s">
        <v>241</v>
      </c>
      <c r="B38" s="1">
        <v>29</v>
      </c>
      <c r="C38" s="1" t="s">
        <v>108</v>
      </c>
      <c r="D38" s="1" t="s">
        <v>210</v>
      </c>
      <c r="E38" s="5">
        <v>39345</v>
      </c>
      <c r="F38" s="1">
        <v>3</v>
      </c>
      <c r="G38" s="1">
        <v>3</v>
      </c>
      <c r="H38" s="1">
        <v>1</v>
      </c>
      <c r="I38" s="1">
        <v>60</v>
      </c>
      <c r="J38" s="1" t="s">
        <v>198</v>
      </c>
      <c r="K38" s="1" t="s">
        <v>198</v>
      </c>
      <c r="L38" s="1" t="s">
        <v>200</v>
      </c>
      <c r="M38" s="1" t="s">
        <v>200</v>
      </c>
      <c r="N38" s="1" t="s">
        <v>198</v>
      </c>
      <c r="O38" s="1" t="s">
        <v>198</v>
      </c>
      <c r="P38" s="1" t="s">
        <v>198</v>
      </c>
    </row>
    <row r="39" spans="1:16" x14ac:dyDescent="0.2">
      <c r="A39" s="4" t="s">
        <v>242</v>
      </c>
      <c r="B39" s="1">
        <v>53</v>
      </c>
      <c r="C39" s="1" t="s">
        <v>105</v>
      </c>
      <c r="D39" s="1" t="s">
        <v>197</v>
      </c>
      <c r="E39" s="5">
        <v>39725</v>
      </c>
      <c r="F39" s="1">
        <v>3</v>
      </c>
      <c r="G39" s="1">
        <v>1</v>
      </c>
      <c r="H39" s="1">
        <v>2</v>
      </c>
      <c r="I39" s="1">
        <v>870</v>
      </c>
      <c r="J39" s="1" t="s">
        <v>198</v>
      </c>
      <c r="K39" s="1" t="s">
        <v>200</v>
      </c>
      <c r="L39" s="1" t="s">
        <v>198</v>
      </c>
      <c r="M39" s="1" t="s">
        <v>200</v>
      </c>
      <c r="N39" s="1" t="s">
        <v>200</v>
      </c>
      <c r="O39" s="1" t="s">
        <v>198</v>
      </c>
      <c r="P39" s="1" t="s">
        <v>200</v>
      </c>
    </row>
    <row r="40" spans="1:16" x14ac:dyDescent="0.2">
      <c r="A40" s="4" t="s">
        <v>243</v>
      </c>
      <c r="B40" s="1">
        <v>32</v>
      </c>
      <c r="C40" s="1" t="s">
        <v>105</v>
      </c>
      <c r="D40" s="6" t="s">
        <v>210</v>
      </c>
      <c r="E40" s="5">
        <v>41797</v>
      </c>
      <c r="F40" s="1">
        <v>3</v>
      </c>
      <c r="G40" s="1">
        <v>2</v>
      </c>
      <c r="H40" s="1">
        <v>2</v>
      </c>
      <c r="I40" s="1">
        <v>120</v>
      </c>
      <c r="J40" s="1" t="s">
        <v>198</v>
      </c>
      <c r="K40" s="1" t="s">
        <v>198</v>
      </c>
      <c r="L40" s="1" t="s">
        <v>200</v>
      </c>
      <c r="M40" s="1" t="s">
        <v>198</v>
      </c>
      <c r="N40" s="1" t="s">
        <v>200</v>
      </c>
      <c r="O40" s="1" t="s">
        <v>198</v>
      </c>
      <c r="P40" s="1" t="s">
        <v>200</v>
      </c>
    </row>
    <row r="41" spans="1:16" x14ac:dyDescent="0.2">
      <c r="A41" s="4" t="s">
        <v>244</v>
      </c>
      <c r="B41" s="1">
        <v>48</v>
      </c>
      <c r="C41" s="1" t="s">
        <v>108</v>
      </c>
      <c r="D41" s="6" t="s">
        <v>203</v>
      </c>
      <c r="E41" s="5">
        <v>42064</v>
      </c>
      <c r="F41" s="1">
        <v>3</v>
      </c>
      <c r="G41" s="1">
        <v>3</v>
      </c>
      <c r="H41" s="1">
        <v>1</v>
      </c>
      <c r="I41" s="1">
        <v>100</v>
      </c>
      <c r="J41" s="1" t="s">
        <v>200</v>
      </c>
      <c r="K41" s="1" t="s">
        <v>198</v>
      </c>
      <c r="L41" s="1" t="s">
        <v>198</v>
      </c>
      <c r="M41" s="1" t="s">
        <v>200</v>
      </c>
      <c r="N41" s="1" t="s">
        <v>198</v>
      </c>
      <c r="O41" s="1" t="s">
        <v>198</v>
      </c>
      <c r="P41" s="1" t="s">
        <v>198</v>
      </c>
    </row>
    <row r="42" spans="1:16" x14ac:dyDescent="0.2">
      <c r="A42" s="4" t="s">
        <v>245</v>
      </c>
      <c r="B42" s="1">
        <v>20</v>
      </c>
      <c r="C42" s="1" t="s">
        <v>108</v>
      </c>
      <c r="D42" s="6" t="s">
        <v>210</v>
      </c>
      <c r="E42" s="5">
        <v>36758</v>
      </c>
      <c r="F42" s="1">
        <v>3</v>
      </c>
      <c r="G42" s="1">
        <v>2</v>
      </c>
      <c r="H42" s="1">
        <v>1</v>
      </c>
      <c r="I42" s="1">
        <v>120</v>
      </c>
      <c r="J42" s="1" t="s">
        <v>198</v>
      </c>
      <c r="K42" s="1" t="s">
        <v>200</v>
      </c>
      <c r="L42" s="1" t="s">
        <v>200</v>
      </c>
      <c r="M42" s="1" t="s">
        <v>200</v>
      </c>
      <c r="N42" s="1" t="s">
        <v>198</v>
      </c>
      <c r="O42" s="1" t="s">
        <v>198</v>
      </c>
      <c r="P42" s="1" t="s">
        <v>198</v>
      </c>
    </row>
    <row r="43" spans="1:16" x14ac:dyDescent="0.2">
      <c r="A43" s="4" t="s">
        <v>246</v>
      </c>
      <c r="B43" s="1">
        <v>33</v>
      </c>
      <c r="C43" s="1" t="s">
        <v>108</v>
      </c>
      <c r="D43" s="6" t="s">
        <v>203</v>
      </c>
      <c r="E43" s="5">
        <v>38062</v>
      </c>
      <c r="F43" s="1">
        <v>3</v>
      </c>
      <c r="G43" s="1">
        <v>2</v>
      </c>
      <c r="H43" s="1">
        <v>1</v>
      </c>
      <c r="I43" s="1">
        <v>150</v>
      </c>
      <c r="J43" s="1" t="s">
        <v>198</v>
      </c>
      <c r="K43" s="1" t="s">
        <v>198</v>
      </c>
      <c r="L43" s="1" t="s">
        <v>200</v>
      </c>
      <c r="M43" s="1" t="s">
        <v>200</v>
      </c>
      <c r="N43" s="1" t="s">
        <v>200</v>
      </c>
      <c r="O43" s="1" t="s">
        <v>198</v>
      </c>
      <c r="P43" s="1" t="s">
        <v>198</v>
      </c>
    </row>
    <row r="44" spans="1:16" x14ac:dyDescent="0.2">
      <c r="A44" s="4" t="s">
        <v>247</v>
      </c>
      <c r="B44" s="1">
        <v>23</v>
      </c>
      <c r="C44" s="1" t="s">
        <v>105</v>
      </c>
      <c r="D44" s="6" t="s">
        <v>210</v>
      </c>
      <c r="E44" s="5">
        <v>37911</v>
      </c>
      <c r="F44" s="1">
        <v>3</v>
      </c>
      <c r="G44" s="1">
        <v>3</v>
      </c>
      <c r="H44" s="1">
        <v>1</v>
      </c>
      <c r="I44" s="1">
        <v>100</v>
      </c>
      <c r="J44" s="1" t="s">
        <v>198</v>
      </c>
      <c r="K44" s="1" t="s">
        <v>200</v>
      </c>
      <c r="L44" s="1" t="s">
        <v>198</v>
      </c>
      <c r="M44" s="1" t="s">
        <v>200</v>
      </c>
      <c r="N44" s="1" t="s">
        <v>200</v>
      </c>
      <c r="O44" s="1" t="s">
        <v>198</v>
      </c>
      <c r="P44" s="1" t="s">
        <v>198</v>
      </c>
    </row>
    <row r="45" spans="1:16" x14ac:dyDescent="0.2">
      <c r="A45" s="4" t="s">
        <v>248</v>
      </c>
      <c r="B45" s="1">
        <v>40</v>
      </c>
      <c r="C45" s="1" t="s">
        <v>105</v>
      </c>
      <c r="D45" s="6" t="s">
        <v>210</v>
      </c>
      <c r="E45" s="5">
        <v>42927</v>
      </c>
      <c r="F45" s="1">
        <v>3</v>
      </c>
      <c r="G45" s="1">
        <v>1</v>
      </c>
      <c r="H45" s="1">
        <v>1</v>
      </c>
      <c r="I45" s="1">
        <v>280</v>
      </c>
      <c r="J45" s="1" t="s">
        <v>198</v>
      </c>
      <c r="K45" s="1" t="s">
        <v>200</v>
      </c>
      <c r="L45" s="1" t="s">
        <v>198</v>
      </c>
      <c r="M45" s="1" t="s">
        <v>198</v>
      </c>
      <c r="N45" s="1" t="s">
        <v>200</v>
      </c>
      <c r="O45" s="1" t="s">
        <v>198</v>
      </c>
      <c r="P45" s="1" t="s">
        <v>200</v>
      </c>
    </row>
    <row r="46" spans="1:16" x14ac:dyDescent="0.2">
      <c r="A46" s="4" t="s">
        <v>249</v>
      </c>
      <c r="B46" s="1">
        <v>42</v>
      </c>
      <c r="C46" s="1" t="s">
        <v>108</v>
      </c>
      <c r="D46" s="1" t="s">
        <v>197</v>
      </c>
      <c r="E46" s="5">
        <v>41560</v>
      </c>
      <c r="F46" s="1">
        <v>3</v>
      </c>
      <c r="G46" s="1">
        <v>1</v>
      </c>
      <c r="H46" s="1">
        <v>1</v>
      </c>
      <c r="I46" s="1">
        <v>200</v>
      </c>
      <c r="J46" s="1" t="s">
        <v>198</v>
      </c>
      <c r="K46" s="1" t="s">
        <v>200</v>
      </c>
      <c r="L46" s="1" t="s">
        <v>199</v>
      </c>
      <c r="M46" s="1" t="s">
        <v>200</v>
      </c>
      <c r="N46" s="1" t="s">
        <v>200</v>
      </c>
      <c r="O46" s="1" t="s">
        <v>199</v>
      </c>
      <c r="P46" s="1" t="s">
        <v>199</v>
      </c>
    </row>
    <row r="47" spans="1:16" x14ac:dyDescent="0.2">
      <c r="A47" s="4" t="s">
        <v>250</v>
      </c>
      <c r="B47" s="1">
        <v>46</v>
      </c>
      <c r="C47" s="1" t="s">
        <v>105</v>
      </c>
      <c r="D47" s="1" t="s">
        <v>203</v>
      </c>
      <c r="E47" s="5">
        <v>42886</v>
      </c>
      <c r="F47" s="1">
        <v>2</v>
      </c>
      <c r="G47" s="1">
        <v>2</v>
      </c>
      <c r="H47" s="1">
        <v>1</v>
      </c>
      <c r="I47" s="1">
        <v>380</v>
      </c>
      <c r="J47" s="1" t="s">
        <v>198</v>
      </c>
      <c r="K47" s="1" t="s">
        <v>200</v>
      </c>
      <c r="L47" s="1" t="s">
        <v>199</v>
      </c>
      <c r="M47" s="1" t="s">
        <v>198</v>
      </c>
      <c r="N47" s="1" t="s">
        <v>200</v>
      </c>
      <c r="O47" s="1" t="s">
        <v>198</v>
      </c>
      <c r="P47" s="1" t="s">
        <v>200</v>
      </c>
    </row>
    <row r="48" spans="1:16" x14ac:dyDescent="0.2">
      <c r="A48" s="4" t="s">
        <v>251</v>
      </c>
      <c r="B48" s="1">
        <v>27</v>
      </c>
      <c r="C48" s="1" t="s">
        <v>108</v>
      </c>
      <c r="D48" s="1" t="s">
        <v>207</v>
      </c>
      <c r="E48" s="5">
        <v>39345</v>
      </c>
      <c r="F48" s="1">
        <v>3</v>
      </c>
      <c r="G48" s="1">
        <v>2</v>
      </c>
      <c r="H48" s="1">
        <v>1</v>
      </c>
      <c r="I48" s="1">
        <v>210</v>
      </c>
      <c r="J48" s="1" t="s">
        <v>199</v>
      </c>
      <c r="K48" s="1" t="s">
        <v>200</v>
      </c>
      <c r="L48" s="1" t="s">
        <v>198</v>
      </c>
      <c r="M48" s="1" t="s">
        <v>200</v>
      </c>
      <c r="N48" s="1" t="s">
        <v>204</v>
      </c>
      <c r="O48" s="1" t="s">
        <v>198</v>
      </c>
      <c r="P48" s="1" t="s">
        <v>199</v>
      </c>
    </row>
    <row r="49" spans="1:16" x14ac:dyDescent="0.2">
      <c r="A49" s="4" t="s">
        <v>251</v>
      </c>
      <c r="B49" s="1">
        <v>33</v>
      </c>
      <c r="C49" s="1" t="s">
        <v>108</v>
      </c>
      <c r="D49" s="1" t="s">
        <v>203</v>
      </c>
      <c r="E49" s="5">
        <v>39725</v>
      </c>
      <c r="F49" s="1">
        <v>3</v>
      </c>
      <c r="G49" s="1">
        <v>2</v>
      </c>
      <c r="H49" s="1">
        <v>1</v>
      </c>
      <c r="I49" s="1">
        <v>48</v>
      </c>
      <c r="J49" s="1" t="s">
        <v>198</v>
      </c>
      <c r="K49" s="1" t="s">
        <v>199</v>
      </c>
      <c r="L49" s="1" t="s">
        <v>200</v>
      </c>
      <c r="M49" s="1" t="s">
        <v>198</v>
      </c>
      <c r="N49" s="1" t="s">
        <v>199</v>
      </c>
      <c r="O49" s="1" t="s">
        <v>199</v>
      </c>
      <c r="P49" s="1" t="s">
        <v>199</v>
      </c>
    </row>
    <row r="50" spans="1:16" x14ac:dyDescent="0.2">
      <c r="A50" s="4" t="s">
        <v>252</v>
      </c>
      <c r="B50" s="1">
        <v>18</v>
      </c>
      <c r="C50" s="1" t="s">
        <v>105</v>
      </c>
      <c r="D50" s="1" t="s">
        <v>207</v>
      </c>
      <c r="E50" s="5">
        <v>41797</v>
      </c>
      <c r="F50" s="1">
        <v>3</v>
      </c>
      <c r="G50" s="1">
        <v>2</v>
      </c>
      <c r="H50" s="1">
        <v>1</v>
      </c>
      <c r="I50" s="1">
        <v>160</v>
      </c>
      <c r="J50" s="1" t="s">
        <v>198</v>
      </c>
      <c r="K50" s="1" t="s">
        <v>200</v>
      </c>
      <c r="L50" s="1" t="s">
        <v>198</v>
      </c>
      <c r="M50" s="1" t="s">
        <v>198</v>
      </c>
      <c r="N50" s="1" t="s">
        <v>200</v>
      </c>
      <c r="O50" s="1" t="s">
        <v>200</v>
      </c>
      <c r="P50" s="1" t="s">
        <v>199</v>
      </c>
    </row>
    <row r="51" spans="1:16" x14ac:dyDescent="0.2">
      <c r="A51" s="4" t="s">
        <v>253</v>
      </c>
      <c r="B51" s="1">
        <v>35</v>
      </c>
      <c r="C51" s="1" t="s">
        <v>108</v>
      </c>
      <c r="D51" s="1" t="s">
        <v>197</v>
      </c>
      <c r="E51" s="5">
        <v>42064</v>
      </c>
      <c r="F51" s="1">
        <v>3</v>
      </c>
      <c r="G51" s="1">
        <v>2</v>
      </c>
      <c r="H51" s="1">
        <v>1</v>
      </c>
      <c r="I51" s="1">
        <v>48</v>
      </c>
      <c r="J51" s="1" t="s">
        <v>198</v>
      </c>
      <c r="K51" s="1" t="s">
        <v>199</v>
      </c>
      <c r="L51" s="1" t="s">
        <v>200</v>
      </c>
      <c r="M51" s="1" t="s">
        <v>198</v>
      </c>
      <c r="N51" s="1" t="s">
        <v>199</v>
      </c>
      <c r="O51" s="1" t="s">
        <v>199</v>
      </c>
      <c r="P51" s="1" t="s">
        <v>198</v>
      </c>
    </row>
    <row r="52" spans="1:16" x14ac:dyDescent="0.2">
      <c r="A52" s="4" t="s">
        <v>254</v>
      </c>
      <c r="B52" s="1">
        <v>17</v>
      </c>
      <c r="C52" s="1" t="s">
        <v>108</v>
      </c>
      <c r="D52" s="1" t="s">
        <v>210</v>
      </c>
      <c r="E52" s="5">
        <v>36758</v>
      </c>
      <c r="F52" s="1">
        <v>3</v>
      </c>
      <c r="G52" s="1">
        <v>1</v>
      </c>
      <c r="H52" s="1">
        <v>1</v>
      </c>
      <c r="I52" s="1">
        <v>48</v>
      </c>
      <c r="J52" s="1" t="s">
        <v>198</v>
      </c>
      <c r="K52" s="1" t="s">
        <v>198</v>
      </c>
      <c r="L52" s="1" t="s">
        <v>200</v>
      </c>
      <c r="M52" s="1" t="s">
        <v>198</v>
      </c>
      <c r="N52" s="1" t="s">
        <v>198</v>
      </c>
      <c r="O52" s="1" t="s">
        <v>198</v>
      </c>
      <c r="P52" s="1" t="s">
        <v>198</v>
      </c>
    </row>
    <row r="53" spans="1:16" x14ac:dyDescent="0.2">
      <c r="A53" s="4" t="s">
        <v>255</v>
      </c>
      <c r="B53" s="1">
        <v>50</v>
      </c>
      <c r="C53" s="1" t="s">
        <v>108</v>
      </c>
      <c r="D53" s="1" t="s">
        <v>197</v>
      </c>
      <c r="E53" s="5">
        <v>38062</v>
      </c>
      <c r="F53" s="1">
        <v>3</v>
      </c>
      <c r="G53" s="1">
        <v>1</v>
      </c>
      <c r="H53" s="1">
        <v>1</v>
      </c>
      <c r="I53" s="1">
        <v>48</v>
      </c>
      <c r="J53" s="1" t="s">
        <v>198</v>
      </c>
      <c r="K53" s="1" t="s">
        <v>198</v>
      </c>
      <c r="L53" s="1" t="s">
        <v>200</v>
      </c>
      <c r="M53" s="1" t="s">
        <v>198</v>
      </c>
      <c r="N53" s="1" t="s">
        <v>198</v>
      </c>
      <c r="O53" s="1" t="s">
        <v>198</v>
      </c>
      <c r="P53" s="1" t="s">
        <v>198</v>
      </c>
    </row>
    <row r="54" spans="1:16" x14ac:dyDescent="0.2">
      <c r="A54" s="4" t="s">
        <v>256</v>
      </c>
      <c r="B54" s="1">
        <v>35</v>
      </c>
      <c r="C54" s="1" t="s">
        <v>105</v>
      </c>
      <c r="D54" s="6" t="s">
        <v>197</v>
      </c>
      <c r="E54" s="5">
        <v>37911</v>
      </c>
      <c r="F54" s="1">
        <v>3</v>
      </c>
      <c r="G54" s="1">
        <v>1</v>
      </c>
      <c r="H54" s="1">
        <v>1</v>
      </c>
      <c r="I54" s="1">
        <v>280</v>
      </c>
      <c r="J54" s="1" t="s">
        <v>198</v>
      </c>
      <c r="K54" s="1" t="s">
        <v>200</v>
      </c>
      <c r="L54" s="1" t="s">
        <v>198</v>
      </c>
      <c r="M54" s="1" t="s">
        <v>198</v>
      </c>
      <c r="N54" s="1" t="s">
        <v>200</v>
      </c>
      <c r="O54" s="1" t="s">
        <v>198</v>
      </c>
      <c r="P54" s="1" t="s">
        <v>200</v>
      </c>
    </row>
    <row r="55" spans="1:16" x14ac:dyDescent="0.2">
      <c r="A55" s="4" t="s">
        <v>257</v>
      </c>
      <c r="B55" s="1">
        <v>19</v>
      </c>
      <c r="C55" s="1" t="s">
        <v>108</v>
      </c>
      <c r="D55" s="6" t="s">
        <v>210</v>
      </c>
      <c r="E55" s="5">
        <v>42927</v>
      </c>
      <c r="F55" s="1">
        <v>3</v>
      </c>
      <c r="G55" s="1">
        <v>2</v>
      </c>
      <c r="H55" s="1">
        <v>1</v>
      </c>
      <c r="I55" s="1">
        <v>68</v>
      </c>
      <c r="J55" s="1" t="s">
        <v>198</v>
      </c>
      <c r="K55" s="1" t="s">
        <v>198</v>
      </c>
      <c r="L55" s="1" t="s">
        <v>200</v>
      </c>
      <c r="M55" s="1" t="s">
        <v>200</v>
      </c>
      <c r="N55" s="1" t="s">
        <v>198</v>
      </c>
      <c r="O55" s="1" t="s">
        <v>198</v>
      </c>
      <c r="P55" s="1" t="s">
        <v>198</v>
      </c>
    </row>
    <row r="56" spans="1:16" x14ac:dyDescent="0.2">
      <c r="A56" s="4" t="s">
        <v>258</v>
      </c>
      <c r="B56" s="1">
        <v>20</v>
      </c>
      <c r="C56" s="1" t="s">
        <v>108</v>
      </c>
      <c r="D56" s="6" t="s">
        <v>210</v>
      </c>
      <c r="E56" s="5">
        <v>41560</v>
      </c>
      <c r="F56" s="1">
        <v>3</v>
      </c>
      <c r="G56" s="1">
        <v>1</v>
      </c>
      <c r="H56" s="1">
        <v>1</v>
      </c>
      <c r="I56" s="1">
        <v>100</v>
      </c>
      <c r="J56" s="1" t="s">
        <v>198</v>
      </c>
      <c r="K56" s="1" t="s">
        <v>200</v>
      </c>
      <c r="L56" s="1" t="s">
        <v>198</v>
      </c>
      <c r="M56" s="1" t="s">
        <v>200</v>
      </c>
      <c r="N56" s="1" t="s">
        <v>198</v>
      </c>
      <c r="O56" s="1" t="s">
        <v>198</v>
      </c>
      <c r="P56" s="1" t="s">
        <v>198</v>
      </c>
    </row>
    <row r="57" spans="1:16" x14ac:dyDescent="0.2">
      <c r="A57" s="4" t="s">
        <v>259</v>
      </c>
      <c r="B57" s="1">
        <v>33</v>
      </c>
      <c r="C57" s="1" t="s">
        <v>105</v>
      </c>
      <c r="D57" s="6" t="s">
        <v>210</v>
      </c>
      <c r="E57" s="5">
        <v>42886</v>
      </c>
      <c r="F57" s="1">
        <v>3</v>
      </c>
      <c r="G57" s="1">
        <v>1</v>
      </c>
      <c r="H57" s="1">
        <v>1</v>
      </c>
      <c r="I57" s="1">
        <v>100</v>
      </c>
      <c r="J57" s="1" t="s">
        <v>198</v>
      </c>
      <c r="K57" s="1" t="s">
        <v>200</v>
      </c>
      <c r="L57" s="1" t="s">
        <v>198</v>
      </c>
      <c r="M57" s="1" t="s">
        <v>230</v>
      </c>
      <c r="N57" s="1" t="s">
        <v>200</v>
      </c>
      <c r="O57" s="1" t="s">
        <v>200</v>
      </c>
      <c r="P57" s="1" t="s">
        <v>198</v>
      </c>
    </row>
    <row r="58" spans="1:16" x14ac:dyDescent="0.2">
      <c r="A58" s="4" t="s">
        <v>260</v>
      </c>
      <c r="B58" s="1">
        <v>23</v>
      </c>
      <c r="C58" s="1" t="s">
        <v>105</v>
      </c>
      <c r="D58" s="6" t="s">
        <v>210</v>
      </c>
      <c r="E58" s="5">
        <v>39345</v>
      </c>
      <c r="F58" s="1">
        <v>3</v>
      </c>
      <c r="G58" s="1">
        <v>1</v>
      </c>
      <c r="H58" s="1">
        <v>1</v>
      </c>
      <c r="I58" s="1">
        <v>80</v>
      </c>
      <c r="J58" s="1" t="s">
        <v>198</v>
      </c>
      <c r="K58" s="1" t="s">
        <v>198</v>
      </c>
      <c r="L58" s="1" t="s">
        <v>200</v>
      </c>
      <c r="M58" s="1" t="s">
        <v>198</v>
      </c>
      <c r="N58" s="1" t="s">
        <v>200</v>
      </c>
      <c r="O58" s="1" t="s">
        <v>200</v>
      </c>
      <c r="P58" s="1" t="s">
        <v>198</v>
      </c>
    </row>
    <row r="59" spans="1:16" x14ac:dyDescent="0.2">
      <c r="A59" s="4" t="s">
        <v>261</v>
      </c>
      <c r="B59" s="1">
        <v>50</v>
      </c>
      <c r="C59" s="1" t="s">
        <v>108</v>
      </c>
      <c r="D59" s="6" t="s">
        <v>197</v>
      </c>
      <c r="E59" s="5">
        <v>39725</v>
      </c>
      <c r="F59" s="1">
        <v>3</v>
      </c>
      <c r="G59" s="1">
        <v>1</v>
      </c>
      <c r="H59" s="1">
        <v>1</v>
      </c>
      <c r="I59" s="1">
        <v>212</v>
      </c>
      <c r="J59" s="1" t="s">
        <v>198</v>
      </c>
      <c r="K59" s="1" t="s">
        <v>200</v>
      </c>
      <c r="L59" s="1" t="s">
        <v>198</v>
      </c>
      <c r="M59" s="1" t="s">
        <v>200</v>
      </c>
      <c r="N59" s="1" t="s">
        <v>200</v>
      </c>
      <c r="O59" s="1" t="s">
        <v>200</v>
      </c>
      <c r="P59" s="1" t="s">
        <v>198</v>
      </c>
    </row>
    <row r="60" spans="1:16" x14ac:dyDescent="0.2">
      <c r="A60" s="4" t="s">
        <v>262</v>
      </c>
      <c r="B60" s="1">
        <v>37</v>
      </c>
      <c r="C60" s="1" t="s">
        <v>105</v>
      </c>
      <c r="D60" s="6" t="s">
        <v>197</v>
      </c>
      <c r="E60" s="5">
        <v>41797</v>
      </c>
      <c r="F60" s="1">
        <v>3</v>
      </c>
      <c r="G60" s="1">
        <v>2</v>
      </c>
      <c r="H60" s="1">
        <v>1</v>
      </c>
      <c r="I60" s="1">
        <v>280</v>
      </c>
      <c r="J60" s="1" t="s">
        <v>198</v>
      </c>
      <c r="K60" s="1" t="s">
        <v>200</v>
      </c>
      <c r="L60" s="1" t="s">
        <v>198</v>
      </c>
      <c r="M60" s="1" t="s">
        <v>198</v>
      </c>
      <c r="N60" s="1" t="s">
        <v>200</v>
      </c>
      <c r="O60" s="1" t="s">
        <v>198</v>
      </c>
      <c r="P60" s="1" t="s">
        <v>200</v>
      </c>
    </row>
    <row r="61" spans="1:16" x14ac:dyDescent="0.2">
      <c r="A61" s="4" t="s">
        <v>263</v>
      </c>
      <c r="B61" s="1">
        <v>48</v>
      </c>
      <c r="C61" s="1" t="s">
        <v>105</v>
      </c>
      <c r="D61" s="6" t="s">
        <v>203</v>
      </c>
      <c r="E61" s="5">
        <v>42064</v>
      </c>
      <c r="F61" s="1">
        <v>3</v>
      </c>
      <c r="G61" s="1">
        <v>2</v>
      </c>
      <c r="H61" s="1">
        <v>1</v>
      </c>
      <c r="I61" s="1">
        <v>420</v>
      </c>
      <c r="J61" s="1" t="s">
        <v>198</v>
      </c>
      <c r="K61" s="1" t="s">
        <v>200</v>
      </c>
      <c r="L61" s="1" t="s">
        <v>198</v>
      </c>
      <c r="M61" s="1" t="s">
        <v>198</v>
      </c>
      <c r="N61" s="1" t="s">
        <v>200</v>
      </c>
      <c r="O61" s="1" t="s">
        <v>198</v>
      </c>
      <c r="P61" s="1" t="s">
        <v>200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E452-EA88-43E8-A640-F3FAF39616EE}">
  <dimension ref="A1:R8"/>
  <sheetViews>
    <sheetView zoomScaleNormal="100" workbookViewId="0">
      <selection activeCell="Q20" sqref="Q20"/>
    </sheetView>
  </sheetViews>
  <sheetFormatPr defaultRowHeight="14.25" x14ac:dyDescent="0.2"/>
  <cols>
    <col min="6" max="6" width="9.875" bestFit="1" customWidth="1"/>
  </cols>
  <sheetData>
    <row r="1" spans="1:18" x14ac:dyDescent="0.2">
      <c r="A1" s="9" t="s">
        <v>282</v>
      </c>
      <c r="B1" s="9" t="s">
        <v>283</v>
      </c>
      <c r="C1" s="9" t="s">
        <v>284</v>
      </c>
    </row>
    <row r="2" spans="1:18" x14ac:dyDescent="0.2">
      <c r="A2" s="8">
        <v>2014</v>
      </c>
      <c r="B2" s="8">
        <v>153000</v>
      </c>
      <c r="C2" s="10">
        <v>0.26650000000000001</v>
      </c>
    </row>
    <row r="3" spans="1:18" x14ac:dyDescent="0.2">
      <c r="A3" s="8">
        <v>2015</v>
      </c>
      <c r="B3" s="8">
        <v>213000</v>
      </c>
      <c r="C3" s="10">
        <v>0.3614</v>
      </c>
      <c r="P3" s="12" t="s">
        <v>285</v>
      </c>
      <c r="Q3" s="13">
        <v>12</v>
      </c>
      <c r="R3" s="13">
        <v>34</v>
      </c>
    </row>
    <row r="4" spans="1:18" x14ac:dyDescent="0.2">
      <c r="A4" s="8">
        <v>2016</v>
      </c>
      <c r="B4" s="8">
        <v>254000</v>
      </c>
      <c r="C4" s="10">
        <v>0.33119999999999999</v>
      </c>
      <c r="P4" s="12" t="s">
        <v>286</v>
      </c>
      <c r="Q4" s="13">
        <v>23</v>
      </c>
      <c r="R4" s="13" t="s">
        <v>289</v>
      </c>
    </row>
    <row r="5" spans="1:18" x14ac:dyDescent="0.2">
      <c r="A5" s="8">
        <v>2017</v>
      </c>
      <c r="B5" s="8">
        <v>374000</v>
      </c>
      <c r="C5" s="10">
        <v>0.42280000000000001</v>
      </c>
      <c r="P5" s="12" t="s">
        <v>287</v>
      </c>
      <c r="Q5" s="13" t="s">
        <v>288</v>
      </c>
      <c r="R5" s="13">
        <v>123</v>
      </c>
    </row>
    <row r="6" spans="1:18" x14ac:dyDescent="0.2">
      <c r="A6" s="8">
        <v>2018</v>
      </c>
      <c r="B6" s="8">
        <v>523000</v>
      </c>
      <c r="C6" s="10">
        <v>0.38140000000000002</v>
      </c>
      <c r="Q6" s="13"/>
      <c r="R6" s="13"/>
    </row>
    <row r="7" spans="1:18" x14ac:dyDescent="0.2">
      <c r="A7" s="8">
        <v>2019</v>
      </c>
      <c r="B7" s="8">
        <v>622000</v>
      </c>
      <c r="C7" s="10">
        <v>0.43859999999999999</v>
      </c>
    </row>
    <row r="8" spans="1:18" x14ac:dyDescent="0.2">
      <c r="F8" s="11"/>
    </row>
  </sheetData>
  <phoneticPr fontId="1" type="noConversion"/>
  <hyperlinks>
    <hyperlink ref="P5" r:id="rId1" xr:uid="{5F1B6FD4-72FE-4211-A824-46E83A0F82CE}"/>
    <hyperlink ref="P4" r:id="rId2" xr:uid="{938078DE-A360-4050-A444-BAA01759C460}"/>
    <hyperlink ref="P3" r:id="rId3" xr:uid="{1AEC49D1-6383-4043-A422-182A09DF1BC8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2</vt:i4>
      </vt:variant>
    </vt:vector>
  </HeadingPairs>
  <TitlesOfParts>
    <vt:vector size="10" baseType="lpstr">
      <vt:lpstr>通信录</vt:lpstr>
      <vt:lpstr>学生成绩</vt:lpstr>
      <vt:lpstr>销售记录</vt:lpstr>
      <vt:lpstr>工资收入</vt:lpstr>
      <vt:lpstr>高考成绩</vt:lpstr>
      <vt:lpstr>迷你图</vt:lpstr>
      <vt:lpstr>门店晚间收益</vt:lpstr>
      <vt:lpstr>销售利润</vt:lpstr>
      <vt:lpstr>工资收入!Criteria</vt:lpstr>
      <vt:lpstr>工资收入!提取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军 冷</dc:creator>
  <cp:lastModifiedBy>cn plaman</cp:lastModifiedBy>
  <dcterms:created xsi:type="dcterms:W3CDTF">2023-10-16T02:17:41Z</dcterms:created>
  <dcterms:modified xsi:type="dcterms:W3CDTF">2026-10-10T06:55:20Z</dcterms:modified>
</cp:coreProperties>
</file>