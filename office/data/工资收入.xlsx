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plaman.github.io\office\data\"/>
    </mc:Choice>
  </mc:AlternateContent>
  <xr:revisionPtr revIDLastSave="0" documentId="13_ncr:1_{A6C9A387-E1B3-4A5F-8E1C-4D3F790E5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资表" sheetId="1" r:id="rId1"/>
    <sheet name="vlookup" sheetId="3" r:id="rId2"/>
    <sheet name="frequency" sheetId="4" r:id="rId3"/>
  </sheets>
  <definedNames>
    <definedName name="_xlnm._FilterDatabase" localSheetId="2" hidden="1">frequency!$A$1:$H$11</definedName>
    <definedName name="_xlnm._FilterDatabase" localSheetId="0" hidden="1">工资表!$A$1:$H$11</definedName>
    <definedName name="_xlnm.Criteria" localSheetId="2">frequency!$B$13:$C$14</definedName>
    <definedName name="_xlnm.Criteria" localSheetId="0">工资表!$K$4:$L$5</definedName>
    <definedName name="工资" localSheetId="2">frequency!$A$1:$G$11</definedName>
    <definedName name="工资">工资表!$A$1:$G$11</definedName>
    <definedName name="_xlnm.Extract" localSheetId="2">frequency!$B$15:$I$15</definedName>
    <definedName name="_xlnm.Extract" localSheetId="0">工资表!$K$8:$R$8</definedName>
  </definedNames>
  <calcPr calcId="191029"/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H2" i="4"/>
  <c r="H11" i="3"/>
  <c r="H10" i="3"/>
  <c r="H9" i="3"/>
  <c r="H8" i="3"/>
  <c r="H7" i="3"/>
  <c r="H6" i="3"/>
  <c r="H5" i="3"/>
  <c r="H4" i="3"/>
  <c r="H3" i="3"/>
  <c r="H2" i="3"/>
  <c r="K3" i="4" a="1"/>
  <c r="K3" i="4" s="1"/>
  <c r="K5" i="4" l="1"/>
  <c r="K4" i="4"/>
</calcChain>
</file>

<file path=xl/sharedStrings.xml><?xml version="1.0" encoding="utf-8"?>
<sst xmlns="http://schemas.openxmlformats.org/spreadsheetml/2006/main" count="121" uniqueCount="35">
  <si>
    <t>职工编号</t>
  </si>
  <si>
    <t>基本工资</t>
  </si>
  <si>
    <t>房租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</si>
  <si>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</si>
  <si>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</si>
  <si>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</si>
  <si>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</si>
  <si>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</si>
  <si>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</si>
  <si>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</si>
  <si>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</si>
  <si>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</si>
  <si>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</si>
  <si>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水电费</t>
    <phoneticPr fontId="1" type="noConversion"/>
  </si>
  <si>
    <t>职工姓名</t>
    <phoneticPr fontId="1" type="noConversion"/>
  </si>
  <si>
    <t>张京平</t>
  </si>
  <si>
    <t>何立立</t>
  </si>
  <si>
    <t>方洪海</t>
  </si>
  <si>
    <t>李宇红</t>
  </si>
  <si>
    <t>田皎皎</t>
  </si>
  <si>
    <t>田立萍</t>
  </si>
  <si>
    <t>甘小间</t>
  </si>
  <si>
    <t>戴江宁</t>
  </si>
  <si>
    <t>徐万万</t>
  </si>
  <si>
    <t>李洪文</t>
    <phoneticPr fontId="1" type="noConversion"/>
  </si>
  <si>
    <t>职称</t>
    <phoneticPr fontId="1" type="noConversion"/>
  </si>
  <si>
    <t>教授</t>
  </si>
  <si>
    <t>教授</t>
    <phoneticPr fontId="1" type="noConversion"/>
  </si>
  <si>
    <t>副教授</t>
    <phoneticPr fontId="1" type="noConversion"/>
  </si>
  <si>
    <t>讲师</t>
    <phoneticPr fontId="1" type="noConversion"/>
  </si>
  <si>
    <t>岗位津贴</t>
    <phoneticPr fontId="1" type="noConversion"/>
  </si>
  <si>
    <t>实际收入</t>
    <phoneticPr fontId="1" type="noConversion"/>
  </si>
  <si>
    <t>副教授</t>
  </si>
  <si>
    <t>讲师</t>
  </si>
  <si>
    <t>&lt;8000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</si>
</sst>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宋体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B1" zoomScale="145" zoomScaleNormal="145" workbookViewId="0">
      <selection activeCell="N15" sqref="N15"/>
    </sheetView>
  </sheetViews>
  <sheetFormatPr defaultRowHeight="14.25" x14ac:dyDescent="0.15"/>
  <cols>
    <col min="1" max="2" width="11.85546875" style="1" bestFit="1" customWidth="1"/>
    <col min="3" max="3" width="9.28515625" style="1" bestFit="1" customWidth="1"/>
    <col min="4" max="5" width="11.85546875" style="1" bestFit="1" customWidth="1"/>
    <col min="6" max="6" width="9.28515625" style="1" bestFit="1" customWidth="1"/>
    <col min="7" max="7" width="6.85546875" style="1" bestFit="1" customWidth="1"/>
    <col min="8" max="8" width="11.85546875" style="1" bestFit="1" customWidth="1"/>
    <col min="9" max="16384" width="9.140625" style="1"/>
  </cols>
  <sheetData>
    <row r="1" spans="1:12" x14ac:dyDescent="0.15">
      <c r="A1" s="1" t="s">
        <v>0</v>
      </c>
      <c r="B1" s="1" t="s">
        <v>14</v>
      </c>
      <c r="C1" s="1" t="s">
        <v>25</v>
      </c>
      <c r="D1" s="1" t="s">
        <v>1</v>
      </c>
      <c r="E1" s="1" t="s">
        <v>30</v>
      </c>
      <c r="F1" s="1" t="s">
        <v>13</v>
      </c>
      <c r="G1" s="1" t="s">
        <v>2</v>
      </c>
      <c r="H1" s="1" t="s">
        <v>31</v>
      </c>
    </row>
    <row r="2" spans="1:12" x14ac:dyDescent="0.15">
      <c r="A2" s="1" t="s">
        <v>3</v>
      </c>
      <c r="B2" s="1" t="s">
        <v>15</v>
      </c>
      <c r="C2" s="1" t="s">
        <v>28</v>
      </c>
      <c r="D2" s="1">
        <v>4700</v>
      </c>
      <c r="E2" s="1">
        <v>1500</v>
      </c>
      <c r="F2" s="1">
        <v>103</v>
      </c>
      <c r="G2" s="1">
        <v>800</v>
      </c>
    </row>
    <row r="3" spans="1:12" x14ac:dyDescent="0.15">
      <c r="A3" s="1" t="s">
        <v>4</v>
      </c>
      <c r="B3" s="1" t="s">
        <v>16</v>
      </c>
      <c r="C3" s="1" t="s">
        <v>29</v>
      </c>
      <c r="D3" s="1">
        <v>3200</v>
      </c>
      <c r="E3" s="1">
        <v>1000</v>
      </c>
      <c r="F3" s="1">
        <v>205</v>
      </c>
      <c r="G3" s="1">
        <v>500</v>
      </c>
    </row>
    <row r="4" spans="1:12" x14ac:dyDescent="0.15">
      <c r="A4" s="1" t="s">
        <v>5</v>
      </c>
      <c r="B4" s="1" t="s">
        <v>17</v>
      </c>
      <c r="C4" s="1" t="s">
        <v>29</v>
      </c>
      <c r="D4" s="1">
        <v>3400</v>
      </c>
      <c r="E4" s="1">
        <v>1000</v>
      </c>
      <c r="F4" s="1">
        <v>162</v>
      </c>
      <c r="G4" s="1">
        <v>800</v>
      </c>
      <c r="K4" s="1" t="s">
        <v>25</v>
      </c>
      <c r="L4" s="1" t="s">
        <v>31</v>
      </c>
    </row>
    <row r="5" spans="1:12" x14ac:dyDescent="0.15">
      <c r="A5" s="1" t="s">
        <v>6</v>
      </c>
      <c r="B5" s="1" t="s">
        <v>18</v>
      </c>
      <c r="C5" s="1" t="s">
        <v>27</v>
      </c>
      <c r="D5" s="1">
        <v>5000</v>
      </c>
      <c r="E5" s="1">
        <v>2000</v>
      </c>
      <c r="F5" s="1">
        <v>95.5</v>
      </c>
      <c r="G5" s="1">
        <v>1000</v>
      </c>
      <c r="K5" s="1" t="s">
        <v>27</v>
      </c>
      <c r="L5" s="1" t="s">
        <v>34</v>
      </c>
    </row>
    <row r="6" spans="1:12" x14ac:dyDescent="0.15">
      <c r="A6" s="1" t="s">
        <v>7</v>
      </c>
      <c r="B6" s="1" t="s">
        <v>19</v>
      </c>
      <c r="C6" s="1" t="s">
        <v>28</v>
      </c>
      <c r="D6" s="1">
        <v>4500</v>
      </c>
      <c r="E6" s="1">
        <v>1500</v>
      </c>
      <c r="F6" s="1">
        <v>100.5</v>
      </c>
      <c r="G6" s="1">
        <v>1000</v>
      </c>
    </row>
    <row r="7" spans="1:12" x14ac:dyDescent="0.15">
      <c r="A7" s="1" t="s">
        <v>8</v>
      </c>
      <c r="B7" s="1" t="s">
        <v>20</v>
      </c>
      <c r="C7" s="1" t="s">
        <v>29</v>
      </c>
      <c r="D7" s="1">
        <v>3800</v>
      </c>
      <c r="E7" s="1">
        <v>1000</v>
      </c>
      <c r="F7" s="1">
        <v>150.30000305175781</v>
      </c>
      <c r="G7" s="1">
        <v>800</v>
      </c>
    </row>
    <row r="8" spans="1:12" x14ac:dyDescent="0.15">
      <c r="A8" s="1" t="s">
        <v>9</v>
      </c>
      <c r="B8" s="1" t="s">
        <v>21</v>
      </c>
      <c r="C8" s="1" t="s">
        <v>28</v>
      </c>
      <c r="D8" s="1">
        <v>4300</v>
      </c>
      <c r="E8" s="1">
        <v>1500</v>
      </c>
      <c r="F8" s="1">
        <v>110.5</v>
      </c>
      <c r="G8" s="1">
        <v>480</v>
      </c>
    </row>
    <row r="9" spans="1:12" x14ac:dyDescent="0.15">
      <c r="A9" s="1" t="s">
        <v>10</v>
      </c>
      <c r="B9" s="1" t="s">
        <v>22</v>
      </c>
      <c r="C9" s="1" t="s">
        <v>28</v>
      </c>
      <c r="D9" s="1">
        <v>4500</v>
      </c>
      <c r="E9" s="1">
        <v>1500</v>
      </c>
      <c r="F9" s="1">
        <v>98.5</v>
      </c>
      <c r="G9" s="1">
        <v>900</v>
      </c>
    </row>
    <row r="10" spans="1:12" x14ac:dyDescent="0.15">
      <c r="A10" s="1" t="s">
        <v>11</v>
      </c>
      <c r="B10" s="1" t="s">
        <v>24</v>
      </c>
      <c r="C10" s="1" t="s">
        <v>26</v>
      </c>
      <c r="D10" s="1">
        <v>4600</v>
      </c>
      <c r="E10" s="1">
        <v>2000</v>
      </c>
      <c r="F10" s="1">
        <v>154</v>
      </c>
      <c r="G10" s="1">
        <v>600</v>
      </c>
    </row>
    <row r="11" spans="1:12" x14ac:dyDescent="0.15">
      <c r="A11" s="1" t="s">
        <v>12</v>
      </c>
      <c r="B11" s="1" t="s">
        <v>23</v>
      </c>
      <c r="C11" s="1" t="s">
        <v>29</v>
      </c>
      <c r="D11" s="1">
        <v>3700</v>
      </c>
      <c r="E11" s="1">
        <v>1000</v>
      </c>
      <c r="F11" s="1">
        <v>110.19999694824219</v>
      </c>
      <c r="G11" s="1">
        <v>800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sqref="A1:H11"/>
    </sheetView>
  </sheetViews>
  <sheetFormatPr defaultRowHeight="14.25" x14ac:dyDescent="0.15"/>
  <cols>
    <col min="1" max="2" width="11.85546875" style="1" bestFit="1" customWidth="1"/>
    <col min="3" max="3" width="9.28515625" style="1" bestFit="1" customWidth="1"/>
    <col min="4" max="5" width="11.85546875" style="1" bestFit="1" customWidth="1"/>
    <col min="6" max="6" width="9.28515625" style="1" bestFit="1" customWidth="1"/>
    <col min="7" max="7" width="6.85546875" style="1" bestFit="1" customWidth="1"/>
    <col min="8" max="8" width="11.85546875" style="1" bestFit="1" customWidth="1"/>
    <col min="9" max="9" width="9.140625" style="1"/>
    <col min="10" max="10" width="9.28515625" style="1" bestFit="1" customWidth="1"/>
    <col min="11" max="11" width="6.85546875" style="1" bestFit="1" customWidth="1"/>
    <col min="12" max="16384" width="9.140625" style="1"/>
  </cols>
  <sheetData>
    <row r="1" spans="1:11" x14ac:dyDescent="0.15">
      <c r="A1" s="1" t="s">
        <v>0</v>
      </c>
      <c r="B1" s="1" t="s">
        <v>14</v>
      </c>
      <c r="C1" s="1" t="s">
        <v>25</v>
      </c>
      <c r="D1" s="1" t="s">
        <v>1</v>
      </c>
      <c r="E1" s="1" t="s">
        <v>30</v>
      </c>
      <c r="F1" s="1" t="s">
        <v>13</v>
      </c>
      <c r="G1" s="1" t="s">
        <v>2</v>
      </c>
      <c r="H1" s="1" t="s">
        <v>31</v>
      </c>
    </row>
    <row r="2" spans="1:11" x14ac:dyDescent="0.15">
      <c r="A2" s="1" t="s">
        <v>3</v>
      </c>
      <c r="B2" s="1" t="s">
        <v>15</v>
      </c>
      <c r="C2" s="1" t="s">
        <v>28</v>
      </c>
      <c r="D2" s="1">
        <v>4700</v>
      </c>
      <c r="E2" s="1">
        <v>1500</v>
      </c>
      <c r="F2" s="1">
        <v>103</v>
      </c>
      <c r="G2" s="1">
        <v>800</v>
      </c>
      <c r="H2" s="1">
        <f t="shared" ref="H2:H11" si="0">SUM(D2:G2)</f>
        <v>7103</v>
      </c>
      <c r="J2" s="1" t="s">
        <v>26</v>
      </c>
      <c r="K2" s="1">
        <v>4000</v>
      </c>
    </row>
    <row r="3" spans="1:11" x14ac:dyDescent="0.15">
      <c r="A3" s="1" t="s">
        <v>4</v>
      </c>
      <c r="B3" s="1" t="s">
        <v>16</v>
      </c>
      <c r="C3" s="1" t="s">
        <v>29</v>
      </c>
      <c r="D3" s="1">
        <v>3200</v>
      </c>
      <c r="E3" s="1">
        <v>1000</v>
      </c>
      <c r="F3" s="1">
        <v>205</v>
      </c>
      <c r="G3" s="1">
        <v>500</v>
      </c>
      <c r="H3" s="1">
        <f t="shared" si="0"/>
        <v>4905</v>
      </c>
      <c r="J3" s="1" t="s">
        <v>32</v>
      </c>
      <c r="K3" s="1">
        <v>3500</v>
      </c>
    </row>
    <row r="4" spans="1:11" x14ac:dyDescent="0.15">
      <c r="A4" s="1" t="s">
        <v>5</v>
      </c>
      <c r="B4" s="1" t="s">
        <v>17</v>
      </c>
      <c r="C4" s="1" t="s">
        <v>29</v>
      </c>
      <c r="D4" s="1">
        <v>3400</v>
      </c>
      <c r="E4" s="1">
        <v>1000</v>
      </c>
      <c r="F4" s="1">
        <v>162</v>
      </c>
      <c r="G4" s="1">
        <v>800</v>
      </c>
      <c r="H4" s="1">
        <f t="shared" si="0"/>
        <v>5362</v>
      </c>
      <c r="J4" s="1" t="s">
        <v>33</v>
      </c>
      <c r="K4" s="1">
        <v>3000</v>
      </c>
    </row>
    <row r="5" spans="1:11" x14ac:dyDescent="0.15">
      <c r="A5" s="1" t="s">
        <v>6</v>
      </c>
      <c r="B5" s="1" t="s">
        <v>18</v>
      </c>
      <c r="C5" s="1" t="s">
        <v>27</v>
      </c>
      <c r="D5" s="1">
        <v>5000</v>
      </c>
      <c r="E5" s="1">
        <v>2000</v>
      </c>
      <c r="F5" s="1">
        <v>95.5</v>
      </c>
      <c r="G5" s="1">
        <v>1000</v>
      </c>
      <c r="H5" s="1">
        <f t="shared" si="0"/>
        <v>8095.5</v>
      </c>
    </row>
    <row r="6" spans="1:11" x14ac:dyDescent="0.15">
      <c r="A6" s="1" t="s">
        <v>7</v>
      </c>
      <c r="B6" s="1" t="s">
        <v>19</v>
      </c>
      <c r="C6" s="1" t="s">
        <v>28</v>
      </c>
      <c r="D6" s="1">
        <v>4500</v>
      </c>
      <c r="E6" s="1">
        <v>1500</v>
      </c>
      <c r="F6" s="1">
        <v>100.5</v>
      </c>
      <c r="G6" s="1">
        <v>1000</v>
      </c>
      <c r="H6" s="1">
        <f t="shared" si="0"/>
        <v>7100.5</v>
      </c>
    </row>
    <row r="7" spans="1:11" x14ac:dyDescent="0.15">
      <c r="A7" s="1" t="s">
        <v>8</v>
      </c>
      <c r="B7" s="1" t="s">
        <v>20</v>
      </c>
      <c r="C7" s="1" t="s">
        <v>29</v>
      </c>
      <c r="D7" s="1">
        <v>3800</v>
      </c>
      <c r="E7" s="1">
        <v>1000</v>
      </c>
      <c r="F7" s="1">
        <v>150.30000305175781</v>
      </c>
      <c r="G7" s="1">
        <v>800</v>
      </c>
      <c r="H7" s="1">
        <f t="shared" si="0"/>
        <v>5750.3000030517578</v>
      </c>
    </row>
    <row r="8" spans="1:11" x14ac:dyDescent="0.15">
      <c r="A8" s="1" t="s">
        <v>9</v>
      </c>
      <c r="B8" s="1" t="s">
        <v>21</v>
      </c>
      <c r="C8" s="1" t="s">
        <v>28</v>
      </c>
      <c r="D8" s="1">
        <v>4300</v>
      </c>
      <c r="E8" s="1">
        <v>1500</v>
      </c>
      <c r="F8" s="1">
        <v>110.5</v>
      </c>
      <c r="G8" s="1">
        <v>480</v>
      </c>
      <c r="H8" s="1">
        <f t="shared" si="0"/>
        <v>6390.5</v>
      </c>
    </row>
    <row r="9" spans="1:11" x14ac:dyDescent="0.15">
      <c r="A9" s="1" t="s">
        <v>10</v>
      </c>
      <c r="B9" s="1" t="s">
        <v>22</v>
      </c>
      <c r="C9" s="1" t="s">
        <v>28</v>
      </c>
      <c r="D9" s="1">
        <v>4500</v>
      </c>
      <c r="E9" s="1">
        <v>1500</v>
      </c>
      <c r="F9" s="1">
        <v>98.5</v>
      </c>
      <c r="G9" s="1">
        <v>900</v>
      </c>
      <c r="H9" s="1">
        <f t="shared" si="0"/>
        <v>6998.5</v>
      </c>
    </row>
    <row r="10" spans="1:11" x14ac:dyDescent="0.15">
      <c r="A10" s="1" t="s">
        <v>11</v>
      </c>
      <c r="B10" s="1" t="s">
        <v>24</v>
      </c>
      <c r="C10" s="1" t="s">
        <v>26</v>
      </c>
      <c r="D10" s="1">
        <v>4600</v>
      </c>
      <c r="E10" s="1">
        <v>2000</v>
      </c>
      <c r="F10" s="1">
        <v>154</v>
      </c>
      <c r="G10" s="1">
        <v>600</v>
      </c>
      <c r="H10" s="1">
        <f t="shared" si="0"/>
        <v>7354</v>
      </c>
    </row>
    <row r="11" spans="1:11" x14ac:dyDescent="0.15">
      <c r="A11" s="1" t="s">
        <v>12</v>
      </c>
      <c r="B11" s="1" t="s">
        <v>23</v>
      </c>
      <c r="C11" s="1" t="s">
        <v>29</v>
      </c>
      <c r="D11" s="1">
        <v>3700</v>
      </c>
      <c r="E11" s="1">
        <v>1000</v>
      </c>
      <c r="F11" s="1">
        <v>110.19999694824219</v>
      </c>
      <c r="G11" s="1">
        <v>800</v>
      </c>
      <c r="H11" s="1">
        <f t="shared" si="0"/>
        <v>5610.1999969482422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13D5-D356-4F9C-8394-C4F4172FD47B}">
  <dimension ref="A1:K11"/>
  <sheetViews>
    <sheetView workbookViewId="0">
      <selection activeCell="L15" sqref="L15"/>
    </sheetView>
  </sheetViews>
  <sheetFormatPr defaultRowHeight="14.25" x14ac:dyDescent="0.15"/>
  <cols>
    <col min="1" max="2" width="11.85546875" style="1" bestFit="1" customWidth="1"/>
    <col min="3" max="3" width="9.28515625" style="1" bestFit="1" customWidth="1"/>
    <col min="4" max="5" width="11.85546875" style="1" bestFit="1" customWidth="1"/>
    <col min="6" max="6" width="9.28515625" style="1" bestFit="1" customWidth="1"/>
    <col min="7" max="7" width="6.85546875" style="1" bestFit="1" customWidth="1"/>
    <col min="8" max="8" width="11.85546875" style="1" bestFit="1" customWidth="1"/>
    <col min="9" max="9" width="9.140625" style="1"/>
    <col min="10" max="10" width="6.85546875" style="1" bestFit="1" customWidth="1"/>
    <col min="11" max="11" width="9.140625" style="1" customWidth="1"/>
    <col min="12" max="16384" width="9.140625" style="1"/>
  </cols>
  <sheetData>
    <row r="1" spans="1:11" x14ac:dyDescent="0.15">
      <c r="A1" s="1" t="s">
        <v>0</v>
      </c>
      <c r="B1" s="1" t="s">
        <v>14</v>
      </c>
      <c r="C1" s="1" t="s">
        <v>25</v>
      </c>
      <c r="D1" s="1" t="s">
        <v>1</v>
      </c>
      <c r="E1" s="1" t="s">
        <v>30</v>
      </c>
      <c r="F1" s="1" t="s">
        <v>13</v>
      </c>
      <c r="G1" s="1" t="s">
        <v>2</v>
      </c>
      <c r="H1" s="1" t="s">
        <v>31</v>
      </c>
    </row>
    <row r="2" spans="1:11" x14ac:dyDescent="0.15">
      <c r="A2" s="1" t="s">
        <v>3</v>
      </c>
      <c r="B2" s="1" t="s">
        <v>15</v>
      </c>
      <c r="C2" s="1" t="s">
        <v>28</v>
      </c>
      <c r="D2" s="1">
        <v>4700</v>
      </c>
      <c r="E2" s="1">
        <v>1500</v>
      </c>
      <c r="F2" s="1">
        <v>103</v>
      </c>
      <c r="G2" s="1">
        <v>800</v>
      </c>
      <c r="H2" s="1">
        <f t="shared" ref="H2:H11" si="0">SUM(D2:G2)</f>
        <v>7103</v>
      </c>
    </row>
    <row r="3" spans="1:11" x14ac:dyDescent="0.15">
      <c r="A3" s="1" t="s">
        <v>4</v>
      </c>
      <c r="B3" s="1" t="s">
        <v>16</v>
      </c>
      <c r="C3" s="1" t="s">
        <v>29</v>
      </c>
      <c r="D3" s="1">
        <v>3200</v>
      </c>
      <c r="E3" s="1">
        <v>1000</v>
      </c>
      <c r="F3" s="1">
        <v>205</v>
      </c>
      <c r="G3" s="1">
        <v>500</v>
      </c>
      <c r="H3" s="1">
        <f t="shared" si="0"/>
        <v>4905</v>
      </c>
      <c r="J3" s="1">
        <v>3999</v>
      </c>
      <c r="K3" s="1">
        <f t="array" ref="K3:K5">FREQUENCY(D2:D11,J3:J5)</f>
        <v>4</v>
      </c>
    </row>
    <row r="4" spans="1:11" x14ac:dyDescent="0.15">
      <c r="A4" s="1" t="s">
        <v>5</v>
      </c>
      <c r="B4" s="1" t="s">
        <v>17</v>
      </c>
      <c r="C4" s="1" t="s">
        <v>29</v>
      </c>
      <c r="D4" s="1">
        <v>3400</v>
      </c>
      <c r="E4" s="1">
        <v>1000</v>
      </c>
      <c r="F4" s="1">
        <v>162</v>
      </c>
      <c r="G4" s="1">
        <v>800</v>
      </c>
      <c r="H4" s="1">
        <f t="shared" si="0"/>
        <v>5362</v>
      </c>
      <c r="J4" s="1">
        <v>4999</v>
      </c>
      <c r="K4" s="1">
        <v>5</v>
      </c>
    </row>
    <row r="5" spans="1:11" x14ac:dyDescent="0.15">
      <c r="A5" s="1" t="s">
        <v>6</v>
      </c>
      <c r="B5" s="1" t="s">
        <v>18</v>
      </c>
      <c r="C5" s="1" t="s">
        <v>27</v>
      </c>
      <c r="D5" s="1">
        <v>5000</v>
      </c>
      <c r="E5" s="1">
        <v>2000</v>
      </c>
      <c r="F5" s="1">
        <v>95.5</v>
      </c>
      <c r="G5" s="1">
        <v>1000</v>
      </c>
      <c r="H5" s="1">
        <f t="shared" si="0"/>
        <v>8095.5</v>
      </c>
      <c r="K5" s="1">
        <v>1</v>
      </c>
    </row>
    <row r="6" spans="1:11" x14ac:dyDescent="0.15">
      <c r="A6" s="1" t="s">
        <v>7</v>
      </c>
      <c r="B6" s="1" t="s">
        <v>19</v>
      </c>
      <c r="C6" s="1" t="s">
        <v>28</v>
      </c>
      <c r="D6" s="1">
        <v>4500</v>
      </c>
      <c r="E6" s="1">
        <v>1500</v>
      </c>
      <c r="F6" s="1">
        <v>100.5</v>
      </c>
      <c r="G6" s="1">
        <v>1000</v>
      </c>
      <c r="H6" s="1">
        <f t="shared" si="0"/>
        <v>7100.5</v>
      </c>
    </row>
    <row r="7" spans="1:11" x14ac:dyDescent="0.15">
      <c r="A7" s="1" t="s">
        <v>8</v>
      </c>
      <c r="B7" s="1" t="s">
        <v>20</v>
      </c>
      <c r="C7" s="1" t="s">
        <v>29</v>
      </c>
      <c r="D7" s="1">
        <v>3800</v>
      </c>
      <c r="E7" s="1">
        <v>1000</v>
      </c>
      <c r="F7" s="1">
        <v>150.30000305175781</v>
      </c>
      <c r="G7" s="1">
        <v>800</v>
      </c>
      <c r="H7" s="1">
        <f t="shared" si="0"/>
        <v>5750.3000030517578</v>
      </c>
    </row>
    <row r="8" spans="1:11" x14ac:dyDescent="0.15">
      <c r="A8" s="1" t="s">
        <v>9</v>
      </c>
      <c r="B8" s="1" t="s">
        <v>21</v>
      </c>
      <c r="C8" s="1" t="s">
        <v>28</v>
      </c>
      <c r="D8" s="1">
        <v>4300</v>
      </c>
      <c r="E8" s="1">
        <v>1500</v>
      </c>
      <c r="F8" s="1">
        <v>110.5</v>
      </c>
      <c r="G8" s="1">
        <v>480</v>
      </c>
      <c r="H8" s="1">
        <f t="shared" si="0"/>
        <v>6390.5</v>
      </c>
    </row>
    <row r="9" spans="1:11" x14ac:dyDescent="0.15">
      <c r="A9" s="1" t="s">
        <v>10</v>
      </c>
      <c r="B9" s="1" t="s">
        <v>22</v>
      </c>
      <c r="C9" s="1" t="s">
        <v>28</v>
      </c>
      <c r="D9" s="1">
        <v>4500</v>
      </c>
      <c r="E9" s="1">
        <v>1500</v>
      </c>
      <c r="F9" s="1">
        <v>98.5</v>
      </c>
      <c r="G9" s="1">
        <v>900</v>
      </c>
      <c r="H9" s="1">
        <f t="shared" si="0"/>
        <v>6998.5</v>
      </c>
    </row>
    <row r="10" spans="1:11" x14ac:dyDescent="0.15">
      <c r="A10" s="1" t="s">
        <v>11</v>
      </c>
      <c r="B10" s="1" t="s">
        <v>24</v>
      </c>
      <c r="C10" s="1" t="s">
        <v>26</v>
      </c>
      <c r="D10" s="1">
        <v>4600</v>
      </c>
      <c r="E10" s="1">
        <v>2000</v>
      </c>
      <c r="F10" s="1">
        <v>154</v>
      </c>
      <c r="G10" s="1">
        <v>600</v>
      </c>
      <c r="H10" s="1">
        <f t="shared" si="0"/>
        <v>7354</v>
      </c>
    </row>
    <row r="11" spans="1:11" x14ac:dyDescent="0.15">
      <c r="A11" s="1" t="s">
        <v>12</v>
      </c>
      <c r="B11" s="1" t="s">
        <v>23</v>
      </c>
      <c r="C11" s="1" t="s">
        <v>29</v>
      </c>
      <c r="D11" s="1">
        <v>3700</v>
      </c>
      <c r="E11" s="1">
        <v>1000</v>
      </c>
      <c r="F11" s="1">
        <v>110.19999694824219</v>
      </c>
      <c r="G11" s="1">
        <v>800</v>
      </c>
      <c r="H11" s="1">
        <f t="shared" si="0"/>
        <v>5610.1999969482422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工资表</vt:lpstr>
      <vt:lpstr>vlookup</vt:lpstr>
      <vt:lpstr>frequency</vt:lpstr>
      <vt:lpstr>frequency!Criteria</vt:lpstr>
      <vt:lpstr>工资表!Criteria</vt:lpstr>
      <vt:lpstr>frequency!工资</vt:lpstr>
      <vt:lpstr>工资</vt:lpstr>
      <vt:lpstr>frequency!提取</vt:lpstr>
      <vt:lpstr>工资表!提取</vt:lpstr>
    </vt:vector>
  </TitlesOfParts>
  <Manager>PLA</Manager>
  <Company>54414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高级函数</dc:title>
  <dc:creator>cnplaman</dc:creator>
  <cp:lastModifiedBy>cn plaman</cp:lastModifiedBy>
  <dcterms:created xsi:type="dcterms:W3CDTF">2013-05-24T06:10:53Z</dcterms:created>
  <dcterms:modified xsi:type="dcterms:W3CDTF">2026-05-13T09:02:41Z</dcterms:modified>
</cp:coreProperties>
</file>