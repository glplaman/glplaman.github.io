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 Zahangir Hossain\Desktop\1\Renew\EXcel SUMIF function\"/>
    </mc:Choice>
  </mc:AlternateContent>
  <xr:revisionPtr revIDLastSave="0" documentId="13_ncr:1_{BA05A6B9-BC38-4BAE-B9A1-B3BD5CB2A56C}" xr6:coauthVersionLast="47" xr6:coauthVersionMax="47" xr10:uidLastSave="{00000000-0000-0000-0000-000000000000}"/>
  <bookViews>
    <workbookView xWindow="-120" yWindow="-120" windowWidth="20730" windowHeight="11160" xr2:uid="{68C57AD6-7DFA-4530-96AF-796A3D08D084}"/>
  </bookViews>
  <sheets>
    <sheet name="Quickview" sheetId="1" r:id="rId1"/>
    <sheet name="Numeric Criteria" sheetId="2" r:id="rId2"/>
    <sheet name="Text Criteria" sheetId="3" r:id="rId3"/>
    <sheet name="Wildcard Characters" sheetId="4" r:id="rId4"/>
    <sheet name="Date Criteria" sheetId="5" r:id="rId5"/>
    <sheet name="OR Criteria" sheetId="6" r:id="rId6"/>
    <sheet name="Array Argument" sheetId="7" r:id="rId7"/>
    <sheet name="Date Range Month &amp; Year" sheetId="8" r:id="rId8"/>
    <sheet name="SUMIF Vs SUMIF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8" l="1"/>
  <c r="H8" i="7" a="1"/>
  <c r="H8" i="7" s="1"/>
  <c r="H8" i="6"/>
  <c r="H8" i="5"/>
  <c r="H8" i="4"/>
  <c r="H8" i="3"/>
  <c r="H7" i="2"/>
  <c r="I5" i="9"/>
  <c r="G10" i="8"/>
  <c r="G9" i="8"/>
  <c r="G8" i="8"/>
  <c r="G7" i="8"/>
  <c r="G6" i="8"/>
  <c r="G5" i="8"/>
  <c r="G8" i="1"/>
  <c r="G7" i="1"/>
  <c r="G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<sst xmlns="http://schemas.openxmlformats.org/spreadsheetml/2006/main" count="303" uniqueCount="80">
  <si>
    <t xml:space="preserve">                    Excel SUMIF Function</t>
  </si>
  <si>
    <t xml:space="preserve">  Adds the cells specified by a given condition or criteria</t>
  </si>
  <si>
    <t>Food</t>
  </si>
  <si>
    <t xml:space="preserve">Category </t>
  </si>
  <si>
    <t xml:space="preserve">Sales </t>
  </si>
  <si>
    <t>Apples</t>
  </si>
  <si>
    <t>Fruits</t>
  </si>
  <si>
    <t>Eggplant</t>
  </si>
  <si>
    <t>Vegetables</t>
  </si>
  <si>
    <t xml:space="preserve">Potato </t>
  </si>
  <si>
    <t xml:space="preserve">Grapes	</t>
  </si>
  <si>
    <t>Mango</t>
  </si>
  <si>
    <t xml:space="preserve">Butter </t>
  </si>
  <si>
    <t>Dairy</t>
  </si>
  <si>
    <t>Milk</t>
  </si>
  <si>
    <t>Cheese</t>
  </si>
  <si>
    <t>Orange</t>
  </si>
  <si>
    <t>Pineapple</t>
  </si>
  <si>
    <t>Cauliflower</t>
  </si>
  <si>
    <t xml:space="preserve">Criteria </t>
  </si>
  <si>
    <t>Total Sales</t>
  </si>
  <si>
    <r>
      <t xml:space="preserve">            =SUMIF (</t>
    </r>
    <r>
      <rPr>
        <b/>
        <i/>
        <sz val="12"/>
        <color theme="1"/>
        <rFont val="Calibri"/>
        <family val="2"/>
        <scheme val="minor"/>
      </rPr>
      <t>range</t>
    </r>
    <r>
      <rPr>
        <i/>
        <sz val="12"/>
        <color theme="1"/>
        <rFont val="Calibri"/>
        <family val="2"/>
        <scheme val="minor"/>
      </rPr>
      <t xml:space="preserve">, </t>
    </r>
    <r>
      <rPr>
        <b/>
        <i/>
        <sz val="12"/>
        <color theme="1"/>
        <rFont val="Calibri"/>
        <family val="2"/>
        <scheme val="minor"/>
      </rPr>
      <t>criteria</t>
    </r>
    <r>
      <rPr>
        <i/>
        <sz val="12"/>
        <color theme="1"/>
        <rFont val="Calibri"/>
        <family val="2"/>
        <scheme val="minor"/>
      </rPr>
      <t>, [sum_range])</t>
    </r>
  </si>
  <si>
    <t>Category = Fruits</t>
  </si>
  <si>
    <t>Food = Mango</t>
  </si>
  <si>
    <t>Sales &gt; $1300</t>
  </si>
  <si>
    <t>Named as</t>
  </si>
  <si>
    <t>Range=&gt;</t>
  </si>
  <si>
    <t>B6:B16</t>
  </si>
  <si>
    <t>C6:C16</t>
  </si>
  <si>
    <t>Category</t>
  </si>
  <si>
    <t>D6:D16</t>
  </si>
  <si>
    <t>Sales</t>
  </si>
  <si>
    <t>Date</t>
  </si>
  <si>
    <t xml:space="preserve">White Potato </t>
  </si>
  <si>
    <t xml:space="preserve">      Calculate Sum with Numeric Criteria Using SUMIF Function</t>
  </si>
  <si>
    <t>Sales &gt; $1000</t>
  </si>
  <si>
    <t xml:space="preserve">           Calculate Sum with Text Criteria Using SUMIF Function</t>
  </si>
  <si>
    <t>Pineapples</t>
  </si>
  <si>
    <t xml:space="preserve">                  SUM Function with Wildcard Characters</t>
  </si>
  <si>
    <t>Food = "*Apples"</t>
  </si>
  <si>
    <t xml:space="preserve">            Calculate Sum with Date Criteria Using SUMIF Function</t>
  </si>
  <si>
    <t>Date &gt; 04/01/2021</t>
  </si>
  <si>
    <t xml:space="preserve">                Calculate Sum with Or Criteria Using SUMIF Function</t>
  </si>
  <si>
    <t>Category = Vegetables OR Sales &gt; $1000</t>
  </si>
  <si>
    <t xml:space="preserve">                         SUMIF with an Array Argument</t>
  </si>
  <si>
    <t xml:space="preserve">Category = Fruits AND  Dairy                              </t>
  </si>
  <si>
    <t xml:space="preserve">  Formula</t>
  </si>
  <si>
    <r>
      <t xml:space="preserve"> =SUMIF(</t>
    </r>
    <r>
      <rPr>
        <sz val="12"/>
        <color rgb="FF0070C0"/>
        <rFont val="Calibri"/>
        <family val="2"/>
        <scheme val="minor"/>
      </rPr>
      <t>C6:C16</t>
    </r>
    <r>
      <rPr>
        <sz val="12"/>
        <color theme="1"/>
        <rFont val="Calibri"/>
        <family val="2"/>
        <scheme val="minor"/>
      </rPr>
      <t>,"Fruits",</t>
    </r>
    <r>
      <rPr>
        <sz val="12"/>
        <color rgb="FFFF0000"/>
        <rFont val="Calibri"/>
        <family val="2"/>
        <scheme val="minor"/>
      </rPr>
      <t>D6:D16</t>
    </r>
    <r>
      <rPr>
        <sz val="12"/>
        <color theme="1"/>
        <rFont val="Calibri"/>
        <family val="2"/>
        <scheme val="minor"/>
      </rPr>
      <t>)</t>
    </r>
  </si>
  <si>
    <r>
      <t xml:space="preserve"> =SUMIF(</t>
    </r>
    <r>
      <rPr>
        <sz val="12"/>
        <color rgb="FF0070C0"/>
        <rFont val="Calibri"/>
        <family val="2"/>
        <scheme val="minor"/>
      </rPr>
      <t>B6:B16</t>
    </r>
    <r>
      <rPr>
        <sz val="12"/>
        <color theme="1"/>
        <rFont val="Calibri"/>
        <family val="2"/>
        <scheme val="minor"/>
      </rPr>
      <t>,"Mango",</t>
    </r>
    <r>
      <rPr>
        <sz val="12"/>
        <color rgb="FFFF0000"/>
        <rFont val="Calibri"/>
        <family val="2"/>
        <scheme val="minor"/>
      </rPr>
      <t>D6:D16</t>
    </r>
    <r>
      <rPr>
        <sz val="12"/>
        <color theme="1"/>
        <rFont val="Calibri"/>
        <family val="2"/>
        <scheme val="minor"/>
      </rPr>
      <t>)</t>
    </r>
  </si>
  <si>
    <r>
      <t xml:space="preserve"> =SUMIF(</t>
    </r>
    <r>
      <rPr>
        <sz val="12"/>
        <color rgb="FF0070C0"/>
        <rFont val="Calibri"/>
        <family val="2"/>
        <scheme val="minor"/>
      </rPr>
      <t>D6:D16</t>
    </r>
    <r>
      <rPr>
        <sz val="12"/>
        <color theme="1"/>
        <rFont val="Calibri"/>
        <family val="2"/>
        <scheme val="minor"/>
      </rPr>
      <t>,"&gt;1300")</t>
    </r>
  </si>
  <si>
    <t>Calculating Sum with Numeric Criteria</t>
  </si>
  <si>
    <t>Finding Sum with Text Criteria</t>
  </si>
  <si>
    <t>SUM Function with Wildcard Characters</t>
  </si>
  <si>
    <t>Calculating Sum with Date Criteria</t>
  </si>
  <si>
    <t>Calculation of Sum with OR Criteria</t>
  </si>
  <si>
    <t>SUMIF with an Array Argument</t>
  </si>
  <si>
    <t>Project</t>
  </si>
  <si>
    <t>Start 
Date</t>
  </si>
  <si>
    <t>Finish 
Date</t>
  </si>
  <si>
    <t>Rate 
(per hour)</t>
  </si>
  <si>
    <t>Worked 
(Hour)</t>
  </si>
  <si>
    <t>Total Bill</t>
  </si>
  <si>
    <t>Android App</t>
  </si>
  <si>
    <t>Web Design</t>
  </si>
  <si>
    <t>Javascript</t>
  </si>
  <si>
    <t>Networking</t>
  </si>
  <si>
    <t>Data Science</t>
  </si>
  <si>
    <t xml:space="preserve">React </t>
  </si>
  <si>
    <t>Finish Date</t>
  </si>
  <si>
    <t>SUMIF Date Range for Month and Year</t>
  </si>
  <si>
    <t>Branch 1</t>
  </si>
  <si>
    <t>Branch 2</t>
  </si>
  <si>
    <t>Branch 3</t>
  </si>
  <si>
    <t>Branch 4</t>
  </si>
  <si>
    <t>Branch 5</t>
  </si>
  <si>
    <t>Criteria</t>
  </si>
  <si>
    <t>Result</t>
  </si>
  <si>
    <t>Apples and Branch 1</t>
  </si>
  <si>
    <t>SUMIF Vs SUMIFS</t>
  </si>
  <si>
    <t>Quickview of Excel SUMIF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</si>
</sst>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  <numFmt numFmtId="168" formatCode="&quot;$&quot;#,##0"/>
    <numFmt numFmtId="170" formatCode="[$-409]mmm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2" tint="-0.74999237037263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3" applyNumberFormat="0" applyFill="0" applyAlignment="0" applyProtection="0"/>
  </cellStyleXfs>
  <cellXfs count="34">
    <xf numFmtId="0" fontId="0" fillId="0" borderId="0" xfId="0"/>
    <xf numFmtId="0" fontId="3" fillId="0" borderId="0" xfId="0" applyFont="1"/>
    <xf numFmtId="44" fontId="0" fillId="0" borderId="0" xfId="0" applyNumberFormat="1"/>
    <xf numFmtId="0" fontId="2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0" xfId="0" applyFont="1" applyBorder="1"/>
    <xf numFmtId="14" fontId="6" fillId="0" borderId="0" xfId="0" applyNumberFormat="1" applyFont="1" applyBorder="1"/>
    <xf numFmtId="44" fontId="6" fillId="0" borderId="0" xfId="1" applyFont="1" applyBorder="1"/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3" xfId="2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 wrapText="1"/>
    </xf>
    <xf numFmtId="168" fontId="6" fillId="0" borderId="1" xfId="1" applyNumberFormat="1" applyFont="1" applyBorder="1" applyAlignment="1">
      <alignment horizontal="center" vertical="center" wrapText="1"/>
    </xf>
    <xf numFmtId="168" fontId="6" fillId="0" borderId="1" xfId="1" applyNumberFormat="1" applyFont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</cellXfs>
  <cellStyles count="3">
    <cellStyle name="Currency" xfId="1" builtinId="4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0E6E-8DD3-4723-9B98-A38962E676D2}">
  <dimension ref="A1:G22"/>
  <sheetViews>
    <sheetView showGridLines="0" tabSelected="1" zoomScale="80" zoomScaleNormal="80" workbookViewId="0">
      <selection activeCell="B2" sqref="B2:G2"/>
    </sheetView>
  </sheetViews>
  <sheetFormatPr defaultRowHeight="20.100000000000001" customHeight="1" x14ac:dyDescent="0.25"/>
  <cols>
    <col min="1" max="1" width="3.7109375" customWidth="1"/>
    <col min="2" max="2" width="13.28515625" customWidth="1"/>
    <col min="3" max="3" width="13" customWidth="1"/>
    <col min="4" max="4" width="12.140625" bestFit="1" customWidth="1"/>
    <col min="5" max="5" width="5.28515625" customWidth="1"/>
    <col min="6" max="6" width="18.140625" customWidth="1"/>
    <col min="7" max="7" width="15.140625" customWidth="1"/>
  </cols>
  <sheetData>
    <row r="1" spans="1:7" ht="20.100000000000001" customHeight="1" x14ac:dyDescent="0.25">
      <c r="A1" s="3" t="s">
        <v>0</v>
      </c>
      <c r="B1" s="24"/>
      <c r="C1" s="24"/>
      <c r="D1" s="4"/>
      <c r="E1" s="4"/>
      <c r="F1" s="4"/>
      <c r="G1" s="4"/>
    </row>
    <row r="2" spans="1:7" ht="20.100000000000001" customHeight="1" thickBot="1" x14ac:dyDescent="0.3">
      <c r="B2" s="14" t="s">
        <v>79</v>
      </c>
      <c r="C2" s="14"/>
      <c r="D2" s="14"/>
      <c r="E2" s="14"/>
      <c r="F2" s="14"/>
      <c r="G2" s="14"/>
    </row>
    <row r="3" spans="1:7" ht="20.100000000000001" customHeight="1" thickTop="1" x14ac:dyDescent="0.25">
      <c r="B3" s="1" t="s">
        <v>1</v>
      </c>
      <c r="C3" s="4"/>
      <c r="D3" s="4"/>
      <c r="E3" s="4"/>
      <c r="F3" s="4"/>
      <c r="G3" s="4"/>
    </row>
    <row r="4" spans="1:7" ht="20.100000000000001" customHeight="1" x14ac:dyDescent="0.25">
      <c r="A4" s="4"/>
    </row>
    <row r="5" spans="1:7" ht="20.100000000000001" customHeight="1" x14ac:dyDescent="0.25">
      <c r="A5" s="4"/>
      <c r="B5" s="9" t="s">
        <v>2</v>
      </c>
      <c r="C5" s="9" t="s">
        <v>3</v>
      </c>
      <c r="D5" s="9" t="s">
        <v>4</v>
      </c>
      <c r="E5" s="15"/>
      <c r="F5" s="9" t="s">
        <v>19</v>
      </c>
      <c r="G5" s="9" t="s">
        <v>20</v>
      </c>
    </row>
    <row r="6" spans="1:7" ht="20.100000000000001" customHeight="1" x14ac:dyDescent="0.25">
      <c r="A6" s="4"/>
      <c r="B6" s="10" t="s">
        <v>5</v>
      </c>
      <c r="C6" s="10" t="s">
        <v>6</v>
      </c>
      <c r="D6" s="12">
        <v>2500</v>
      </c>
      <c r="E6" s="15"/>
      <c r="F6" s="10" t="s">
        <v>22</v>
      </c>
      <c r="G6" s="12">
        <f>SUMIF(C6:C16,"Fruits",D6:D16)</f>
        <v>13100</v>
      </c>
    </row>
    <row r="7" spans="1:7" ht="20.100000000000001" customHeight="1" x14ac:dyDescent="0.25">
      <c r="A7" s="4"/>
      <c r="B7" s="10" t="s">
        <v>7</v>
      </c>
      <c r="C7" s="10" t="s">
        <v>8</v>
      </c>
      <c r="D7" s="12">
        <v>150</v>
      </c>
      <c r="E7" s="15"/>
      <c r="F7" s="10" t="s">
        <v>23</v>
      </c>
      <c r="G7" s="12">
        <f>SUMIF(B6:B16,"Mango",D6:D16)</f>
        <v>2700</v>
      </c>
    </row>
    <row r="8" spans="1:7" ht="20.100000000000001" customHeight="1" x14ac:dyDescent="0.25">
      <c r="A8" s="4"/>
      <c r="B8" s="10" t="s">
        <v>9</v>
      </c>
      <c r="C8" s="10" t="s">
        <v>8</v>
      </c>
      <c r="D8" s="12">
        <v>3000</v>
      </c>
      <c r="E8" s="15"/>
      <c r="F8" s="10" t="s">
        <v>24</v>
      </c>
      <c r="G8" s="12">
        <f>SUMIF(D6:D16,"&gt;1300")</f>
        <v>29800</v>
      </c>
    </row>
    <row r="9" spans="1:7" ht="20.100000000000001" customHeight="1" x14ac:dyDescent="0.25">
      <c r="A9" s="4"/>
      <c r="B9" s="10" t="s">
        <v>10</v>
      </c>
      <c r="C9" s="10" t="s">
        <v>6</v>
      </c>
      <c r="D9" s="12">
        <v>4000</v>
      </c>
      <c r="E9" s="15"/>
      <c r="F9" s="15"/>
      <c r="G9" s="15"/>
    </row>
    <row r="10" spans="1:7" ht="20.100000000000001" customHeight="1" x14ac:dyDescent="0.25">
      <c r="A10" s="4"/>
      <c r="B10" s="10" t="s">
        <v>11</v>
      </c>
      <c r="C10" s="10" t="s">
        <v>6</v>
      </c>
      <c r="D10" s="12">
        <v>2700</v>
      </c>
      <c r="E10" s="15"/>
      <c r="F10" s="15"/>
      <c r="G10" s="15"/>
    </row>
    <row r="11" spans="1:7" ht="20.100000000000001" customHeight="1" x14ac:dyDescent="0.25">
      <c r="A11" s="4"/>
      <c r="B11" s="10" t="s">
        <v>12</v>
      </c>
      <c r="C11" s="10" t="s">
        <v>13</v>
      </c>
      <c r="D11" s="12">
        <v>6500</v>
      </c>
      <c r="E11" s="15"/>
      <c r="F11" s="25" t="s">
        <v>26</v>
      </c>
      <c r="G11" s="25" t="s">
        <v>25</v>
      </c>
    </row>
    <row r="12" spans="1:7" ht="20.100000000000001" customHeight="1" x14ac:dyDescent="0.25">
      <c r="A12" s="4"/>
      <c r="B12" s="10" t="s">
        <v>14</v>
      </c>
      <c r="C12" s="10" t="s">
        <v>13</v>
      </c>
      <c r="D12" s="12">
        <v>5000</v>
      </c>
      <c r="E12" s="15"/>
      <c r="F12" s="10" t="s">
        <v>27</v>
      </c>
      <c r="G12" s="10" t="s">
        <v>2</v>
      </c>
    </row>
    <row r="13" spans="1:7" ht="20.100000000000001" customHeight="1" x14ac:dyDescent="0.25">
      <c r="A13" s="4"/>
      <c r="B13" s="10" t="s">
        <v>15</v>
      </c>
      <c r="C13" s="10" t="s">
        <v>13</v>
      </c>
      <c r="D13" s="12">
        <v>3500</v>
      </c>
      <c r="E13" s="15"/>
      <c r="F13" s="10" t="s">
        <v>28</v>
      </c>
      <c r="G13" s="10" t="s">
        <v>29</v>
      </c>
    </row>
    <row r="14" spans="1:7" ht="20.100000000000001" customHeight="1" x14ac:dyDescent="0.25">
      <c r="A14" s="4"/>
      <c r="B14" s="10" t="s">
        <v>16</v>
      </c>
      <c r="C14" s="10" t="s">
        <v>6</v>
      </c>
      <c r="D14" s="12">
        <v>2600</v>
      </c>
      <c r="E14" s="15"/>
      <c r="F14" s="10" t="s">
        <v>30</v>
      </c>
      <c r="G14" s="10" t="s">
        <v>31</v>
      </c>
    </row>
    <row r="15" spans="1:7" ht="20.100000000000001" customHeight="1" x14ac:dyDescent="0.25">
      <c r="A15" s="4"/>
      <c r="B15" s="10" t="s">
        <v>17</v>
      </c>
      <c r="C15" s="10" t="s">
        <v>6</v>
      </c>
      <c r="D15" s="12">
        <v>1300</v>
      </c>
      <c r="E15" s="15"/>
      <c r="F15" s="15"/>
      <c r="G15" s="15"/>
    </row>
    <row r="16" spans="1:7" ht="20.100000000000001" customHeight="1" x14ac:dyDescent="0.25">
      <c r="A16" s="4"/>
      <c r="B16" s="10" t="s">
        <v>18</v>
      </c>
      <c r="C16" s="10" t="s">
        <v>8</v>
      </c>
      <c r="D16" s="12">
        <v>1200</v>
      </c>
      <c r="E16" s="15"/>
      <c r="F16" s="15"/>
      <c r="G16" s="15"/>
    </row>
    <row r="17" spans="1:7" ht="20.100000000000001" customHeight="1" x14ac:dyDescent="0.25">
      <c r="A17" s="4"/>
      <c r="B17" s="29" t="s">
        <v>21</v>
      </c>
      <c r="C17" s="29"/>
      <c r="D17" s="29"/>
      <c r="E17" s="29"/>
      <c r="F17" s="29"/>
      <c r="G17" s="29"/>
    </row>
    <row r="18" spans="1:7" ht="20.100000000000001" customHeight="1" x14ac:dyDescent="0.25">
      <c r="A18" s="4"/>
      <c r="B18" s="4"/>
      <c r="C18" s="4"/>
      <c r="D18" s="4"/>
      <c r="E18" s="4"/>
      <c r="F18" s="4"/>
      <c r="G18" s="4"/>
    </row>
    <row r="19" spans="1:7" ht="20.100000000000001" customHeight="1" x14ac:dyDescent="0.25">
      <c r="A19" s="4"/>
      <c r="B19" s="26" t="s">
        <v>46</v>
      </c>
      <c r="C19" s="27"/>
      <c r="D19" s="28"/>
      <c r="E19" s="4"/>
      <c r="F19" s="4"/>
      <c r="G19" s="4"/>
    </row>
    <row r="20" spans="1:7" ht="20.100000000000001" customHeight="1" x14ac:dyDescent="0.25">
      <c r="A20" s="4"/>
      <c r="B20" s="5" t="s">
        <v>47</v>
      </c>
      <c r="C20" s="5"/>
      <c r="D20" s="5"/>
      <c r="E20" s="4"/>
      <c r="F20" s="4"/>
      <c r="G20" s="4"/>
    </row>
    <row r="21" spans="1:7" ht="20.100000000000001" customHeight="1" x14ac:dyDescent="0.25">
      <c r="A21" s="4"/>
      <c r="B21" s="5" t="s">
        <v>48</v>
      </c>
      <c r="C21" s="5"/>
      <c r="D21" s="5"/>
      <c r="E21" s="4"/>
      <c r="F21" s="4"/>
      <c r="G21" s="4"/>
    </row>
    <row r="22" spans="1:7" ht="20.100000000000001" customHeight="1" x14ac:dyDescent="0.25">
      <c r="A22" s="4"/>
      <c r="B22" s="5" t="s">
        <v>49</v>
      </c>
      <c r="C22" s="5"/>
      <c r="D22" s="5"/>
      <c r="E22" s="4"/>
      <c r="F22" s="4"/>
      <c r="G22" s="4"/>
    </row>
  </sheetData>
  <mergeCells count="4">
    <mergeCell ref="B1:C1"/>
    <mergeCell ref="B2:G2"/>
    <mergeCell ref="B19:D19"/>
    <mergeCell ref="B17:G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381C-9816-4BB4-B784-DE15E0D77BF0}">
  <dimension ref="A1:H23"/>
  <sheetViews>
    <sheetView showGridLines="0" workbookViewId="0">
      <selection activeCell="H7" sqref="H7"/>
    </sheetView>
  </sheetViews>
  <sheetFormatPr defaultRowHeight="20.100000000000001" customHeight="1" x14ac:dyDescent="0.25"/>
  <cols>
    <col min="1" max="1" width="4" customWidth="1"/>
    <col min="2" max="2" width="15.5703125" customWidth="1"/>
    <col min="3" max="3" width="12.85546875" customWidth="1"/>
    <col min="4" max="4" width="14.140625" customWidth="1"/>
    <col min="5" max="5" width="14.28515625" customWidth="1"/>
    <col min="6" max="6" width="3" customWidth="1"/>
    <col min="7" max="7" width="15" customWidth="1"/>
    <col min="8" max="8" width="12.85546875" customWidth="1"/>
  </cols>
  <sheetData>
    <row r="1" spans="1:8" ht="20.100000000000001" customHeight="1" x14ac:dyDescent="0.25">
      <c r="A1" s="3" t="s">
        <v>34</v>
      </c>
      <c r="B1" s="13"/>
      <c r="C1" s="13"/>
      <c r="D1" s="13"/>
      <c r="E1" s="13"/>
    </row>
    <row r="2" spans="1:8" ht="20.100000000000001" customHeight="1" thickBot="1" x14ac:dyDescent="0.3">
      <c r="B2" s="14" t="s">
        <v>50</v>
      </c>
      <c r="C2" s="14"/>
      <c r="D2" s="14"/>
      <c r="E2" s="14"/>
      <c r="F2" s="14"/>
      <c r="G2" s="14"/>
      <c r="H2" s="14"/>
    </row>
    <row r="3" spans="1:8" ht="20.100000000000001" customHeight="1" thickTop="1" x14ac:dyDescent="0.25">
      <c r="F3" s="4"/>
      <c r="G3" s="4"/>
      <c r="H3" s="4"/>
    </row>
    <row r="4" spans="1:8" ht="20.100000000000001" customHeight="1" x14ac:dyDescent="0.25">
      <c r="B4" s="9" t="s">
        <v>2</v>
      </c>
      <c r="C4" s="9" t="s">
        <v>3</v>
      </c>
      <c r="D4" s="9" t="s">
        <v>32</v>
      </c>
      <c r="E4" s="9" t="s">
        <v>4</v>
      </c>
      <c r="F4" s="4"/>
      <c r="G4" s="4"/>
      <c r="H4" s="4"/>
    </row>
    <row r="5" spans="1:8" ht="20.100000000000001" customHeight="1" x14ac:dyDescent="0.25">
      <c r="B5" s="10" t="s">
        <v>5</v>
      </c>
      <c r="C5" s="10" t="s">
        <v>6</v>
      </c>
      <c r="D5" s="11">
        <v>44323</v>
      </c>
      <c r="E5" s="12">
        <v>2500</v>
      </c>
      <c r="F5" s="4"/>
      <c r="G5" s="4"/>
      <c r="H5" s="4"/>
    </row>
    <row r="6" spans="1:8" ht="20.100000000000001" customHeight="1" x14ac:dyDescent="0.25">
      <c r="B6" s="10" t="s">
        <v>7</v>
      </c>
      <c r="C6" s="10" t="s">
        <v>8</v>
      </c>
      <c r="D6" s="11">
        <v>44229</v>
      </c>
      <c r="E6" s="12">
        <v>150</v>
      </c>
      <c r="F6" s="4"/>
      <c r="G6" s="9" t="s">
        <v>19</v>
      </c>
      <c r="H6" s="9" t="s">
        <v>20</v>
      </c>
    </row>
    <row r="7" spans="1:8" ht="20.100000000000001" customHeight="1" x14ac:dyDescent="0.25">
      <c r="B7" s="10" t="s">
        <v>33</v>
      </c>
      <c r="C7" s="10" t="s">
        <v>8</v>
      </c>
      <c r="D7" s="11">
        <v>44258</v>
      </c>
      <c r="E7" s="12">
        <v>3000</v>
      </c>
      <c r="F7" s="4"/>
      <c r="G7" s="10" t="s">
        <v>35</v>
      </c>
      <c r="H7" s="30">
        <f>SUMIF(E5:E16,"&gt;1000")</f>
        <v>26700</v>
      </c>
    </row>
    <row r="8" spans="1:8" ht="20.100000000000001" customHeight="1" x14ac:dyDescent="0.25">
      <c r="B8" s="10" t="s">
        <v>10</v>
      </c>
      <c r="C8" s="10" t="s">
        <v>6</v>
      </c>
      <c r="D8" s="11">
        <v>44351</v>
      </c>
      <c r="E8" s="12">
        <v>4000</v>
      </c>
      <c r="F8" s="4"/>
      <c r="G8" s="4"/>
      <c r="H8" s="4"/>
    </row>
    <row r="9" spans="1:8" ht="20.100000000000001" customHeight="1" x14ac:dyDescent="0.25">
      <c r="B9" s="10" t="s">
        <v>11</v>
      </c>
      <c r="C9" s="10" t="s">
        <v>6</v>
      </c>
      <c r="D9" s="11">
        <v>44382</v>
      </c>
      <c r="E9" s="12">
        <v>2700</v>
      </c>
      <c r="F9" s="4"/>
      <c r="G9" s="4"/>
      <c r="H9" s="4"/>
    </row>
    <row r="10" spans="1:8" ht="20.100000000000001" customHeight="1" x14ac:dyDescent="0.25">
      <c r="B10" s="10" t="s">
        <v>12</v>
      </c>
      <c r="C10" s="10" t="s">
        <v>13</v>
      </c>
      <c r="D10" s="11">
        <v>44202</v>
      </c>
      <c r="E10" s="12">
        <v>600</v>
      </c>
      <c r="F10" s="4"/>
      <c r="G10" s="4"/>
      <c r="H10" s="4"/>
    </row>
    <row r="11" spans="1:8" ht="20.100000000000001" customHeight="1" x14ac:dyDescent="0.25">
      <c r="B11" s="10" t="s">
        <v>14</v>
      </c>
      <c r="C11" s="10" t="s">
        <v>13</v>
      </c>
      <c r="D11" s="11">
        <v>44234</v>
      </c>
      <c r="E11" s="12">
        <v>5000</v>
      </c>
      <c r="F11" s="4"/>
      <c r="G11" s="4"/>
      <c r="H11" s="4"/>
    </row>
    <row r="12" spans="1:8" ht="20.100000000000001" customHeight="1" x14ac:dyDescent="0.25">
      <c r="B12" s="10" t="s">
        <v>15</v>
      </c>
      <c r="C12" s="10" t="s">
        <v>13</v>
      </c>
      <c r="D12" s="11">
        <v>44324</v>
      </c>
      <c r="E12" s="12">
        <v>3500</v>
      </c>
      <c r="F12" s="4"/>
      <c r="G12" s="4"/>
      <c r="H12" s="4"/>
    </row>
    <row r="13" spans="1:8" ht="20.100000000000001" customHeight="1" x14ac:dyDescent="0.25">
      <c r="B13" s="10" t="s">
        <v>16</v>
      </c>
      <c r="C13" s="10" t="s">
        <v>6</v>
      </c>
      <c r="D13" s="11">
        <v>44325</v>
      </c>
      <c r="E13" s="12">
        <v>2600</v>
      </c>
      <c r="F13" s="4"/>
      <c r="G13" s="4"/>
      <c r="H13" s="4"/>
    </row>
    <row r="14" spans="1:8" ht="20.100000000000001" customHeight="1" x14ac:dyDescent="0.25">
      <c r="B14" s="10" t="s">
        <v>17</v>
      </c>
      <c r="C14" s="10" t="s">
        <v>6</v>
      </c>
      <c r="D14" s="11">
        <v>44296</v>
      </c>
      <c r="E14" s="12">
        <v>700</v>
      </c>
      <c r="F14" s="4"/>
      <c r="G14" s="4"/>
      <c r="H14" s="4"/>
    </row>
    <row r="15" spans="1:8" ht="20.100000000000001" customHeight="1" x14ac:dyDescent="0.25">
      <c r="B15" s="10" t="s">
        <v>18</v>
      </c>
      <c r="C15" s="10" t="s">
        <v>8</v>
      </c>
      <c r="D15" s="11">
        <v>44371</v>
      </c>
      <c r="E15" s="12">
        <v>1200</v>
      </c>
      <c r="F15" s="4"/>
      <c r="G15" s="4"/>
      <c r="H15" s="4"/>
    </row>
    <row r="16" spans="1:8" ht="20.100000000000001" customHeight="1" x14ac:dyDescent="0.25">
      <c r="B16" s="10" t="s">
        <v>17</v>
      </c>
      <c r="C16" s="10" t="s">
        <v>6</v>
      </c>
      <c r="D16" s="11">
        <v>44359</v>
      </c>
      <c r="E16" s="12">
        <v>2200</v>
      </c>
      <c r="F16" s="4"/>
      <c r="G16" s="4"/>
      <c r="H16" s="4"/>
    </row>
    <row r="17" spans="2:8" ht="20.100000000000001" customHeight="1" x14ac:dyDescent="0.25">
      <c r="B17" s="6"/>
      <c r="C17" s="6"/>
      <c r="D17" s="7"/>
      <c r="E17" s="8"/>
      <c r="F17" s="4"/>
      <c r="G17" s="4"/>
      <c r="H17" s="4"/>
    </row>
    <row r="18" spans="2:8" ht="20.100000000000001" customHeight="1" x14ac:dyDescent="0.25">
      <c r="B18" s="6"/>
      <c r="C18" s="6"/>
      <c r="D18" s="7"/>
      <c r="E18" s="8"/>
      <c r="F18" s="4"/>
      <c r="G18" s="4"/>
      <c r="H18" s="4"/>
    </row>
    <row r="19" spans="2:8" ht="20.100000000000001" customHeight="1" x14ac:dyDescent="0.25">
      <c r="B19" s="6"/>
      <c r="C19" s="6"/>
      <c r="D19" s="7"/>
      <c r="E19" s="8"/>
      <c r="F19" s="4"/>
      <c r="G19" s="4"/>
      <c r="H19" s="4"/>
    </row>
    <row r="23" spans="2:8" ht="20.100000000000001" customHeight="1" x14ac:dyDescent="0.25">
      <c r="E23" s="2"/>
    </row>
  </sheetData>
  <mergeCells count="2">
    <mergeCell ref="B1:E1"/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453D-E7AD-4D01-8E92-D0DA8651B3E7}">
  <dimension ref="A1:H19"/>
  <sheetViews>
    <sheetView showGridLines="0" workbookViewId="0">
      <selection activeCell="H8" sqref="H8"/>
    </sheetView>
  </sheetViews>
  <sheetFormatPr defaultRowHeight="20.100000000000001" customHeight="1" x14ac:dyDescent="0.25"/>
  <cols>
    <col min="1" max="1" width="4.140625" customWidth="1"/>
    <col min="2" max="2" width="14.7109375" customWidth="1"/>
    <col min="3" max="3" width="12.7109375" customWidth="1"/>
    <col min="4" max="4" width="12.85546875" customWidth="1"/>
    <col min="5" max="5" width="13.140625" customWidth="1"/>
    <col min="6" max="6" width="1.140625" customWidth="1"/>
    <col min="7" max="7" width="18.28515625" customWidth="1"/>
    <col min="8" max="8" width="13.42578125" customWidth="1"/>
  </cols>
  <sheetData>
    <row r="1" spans="1:8" ht="20.100000000000001" customHeight="1" x14ac:dyDescent="0.25">
      <c r="A1" s="3" t="s">
        <v>36</v>
      </c>
      <c r="B1" s="13"/>
      <c r="C1" s="13"/>
      <c r="D1" s="13"/>
      <c r="E1" s="13"/>
    </row>
    <row r="2" spans="1:8" ht="20.100000000000001" customHeight="1" thickBot="1" x14ac:dyDescent="0.3">
      <c r="B2" s="14" t="s">
        <v>51</v>
      </c>
      <c r="C2" s="14"/>
      <c r="D2" s="14"/>
      <c r="E2" s="14"/>
      <c r="F2" s="14"/>
      <c r="G2" s="14"/>
      <c r="H2" s="14"/>
    </row>
    <row r="3" spans="1:8" ht="20.100000000000001" customHeight="1" thickTop="1" x14ac:dyDescent="0.25"/>
    <row r="4" spans="1:8" ht="20.100000000000001" customHeight="1" x14ac:dyDescent="0.25">
      <c r="B4" s="9" t="s">
        <v>2</v>
      </c>
      <c r="C4" s="9" t="s">
        <v>3</v>
      </c>
      <c r="D4" s="9" t="s">
        <v>32</v>
      </c>
      <c r="E4" s="9" t="s">
        <v>4</v>
      </c>
      <c r="F4" s="15"/>
      <c r="G4" s="15"/>
      <c r="H4" s="15"/>
    </row>
    <row r="5" spans="1:8" ht="20.100000000000001" customHeight="1" x14ac:dyDescent="0.25">
      <c r="B5" s="10" t="s">
        <v>5</v>
      </c>
      <c r="C5" s="10" t="s">
        <v>6</v>
      </c>
      <c r="D5" s="11">
        <v>44323</v>
      </c>
      <c r="E5" s="12">
        <v>2500</v>
      </c>
      <c r="F5" s="15"/>
      <c r="G5" s="15"/>
      <c r="H5" s="15"/>
    </row>
    <row r="6" spans="1:8" ht="20.100000000000001" customHeight="1" x14ac:dyDescent="0.25">
      <c r="B6" s="10" t="s">
        <v>7</v>
      </c>
      <c r="C6" s="10" t="s">
        <v>8</v>
      </c>
      <c r="D6" s="11">
        <v>44229</v>
      </c>
      <c r="E6" s="12">
        <v>150</v>
      </c>
      <c r="F6" s="15"/>
      <c r="G6" s="15"/>
      <c r="H6" s="15"/>
    </row>
    <row r="7" spans="1:8" ht="20.100000000000001" customHeight="1" x14ac:dyDescent="0.25">
      <c r="B7" s="10" t="s">
        <v>33</v>
      </c>
      <c r="C7" s="10" t="s">
        <v>8</v>
      </c>
      <c r="D7" s="11">
        <v>44258</v>
      </c>
      <c r="E7" s="12">
        <v>3000</v>
      </c>
      <c r="F7" s="15"/>
      <c r="G7" s="9" t="s">
        <v>19</v>
      </c>
      <c r="H7" s="9" t="s">
        <v>20</v>
      </c>
    </row>
    <row r="8" spans="1:8" ht="20.100000000000001" customHeight="1" x14ac:dyDescent="0.25">
      <c r="B8" s="10" t="s">
        <v>10</v>
      </c>
      <c r="C8" s="10" t="s">
        <v>6</v>
      </c>
      <c r="D8" s="11">
        <v>44351</v>
      </c>
      <c r="E8" s="12">
        <v>4000</v>
      </c>
      <c r="F8" s="15"/>
      <c r="G8" s="10" t="s">
        <v>22</v>
      </c>
      <c r="H8" s="30">
        <f>SUMIF(C5:C16,"Fruits",E5:E16)</f>
        <v>14700</v>
      </c>
    </row>
    <row r="9" spans="1:8" ht="20.100000000000001" customHeight="1" x14ac:dyDescent="0.25">
      <c r="B9" s="10" t="s">
        <v>11</v>
      </c>
      <c r="C9" s="10" t="s">
        <v>6</v>
      </c>
      <c r="D9" s="11">
        <v>44382</v>
      </c>
      <c r="E9" s="12">
        <v>2700</v>
      </c>
      <c r="F9" s="15"/>
      <c r="G9" s="15"/>
      <c r="H9" s="15"/>
    </row>
    <row r="10" spans="1:8" ht="20.100000000000001" customHeight="1" x14ac:dyDescent="0.25">
      <c r="B10" s="10" t="s">
        <v>12</v>
      </c>
      <c r="C10" s="10" t="s">
        <v>13</v>
      </c>
      <c r="D10" s="11">
        <v>44202</v>
      </c>
      <c r="E10" s="12">
        <v>600</v>
      </c>
      <c r="F10" s="15"/>
      <c r="G10" s="15"/>
      <c r="H10" s="15"/>
    </row>
    <row r="11" spans="1:8" ht="20.100000000000001" customHeight="1" x14ac:dyDescent="0.25">
      <c r="B11" s="10" t="s">
        <v>14</v>
      </c>
      <c r="C11" s="10" t="s">
        <v>13</v>
      </c>
      <c r="D11" s="11">
        <v>44234</v>
      </c>
      <c r="E11" s="12">
        <v>5000</v>
      </c>
      <c r="F11" s="15"/>
      <c r="G11" s="15"/>
      <c r="H11" s="15"/>
    </row>
    <row r="12" spans="1:8" ht="20.100000000000001" customHeight="1" x14ac:dyDescent="0.25">
      <c r="B12" s="10" t="s">
        <v>15</v>
      </c>
      <c r="C12" s="10" t="s">
        <v>13</v>
      </c>
      <c r="D12" s="11">
        <v>44324</v>
      </c>
      <c r="E12" s="12">
        <v>3500</v>
      </c>
      <c r="F12" s="15"/>
      <c r="G12" s="15"/>
      <c r="H12" s="15"/>
    </row>
    <row r="13" spans="1:8" ht="20.100000000000001" customHeight="1" x14ac:dyDescent="0.25">
      <c r="B13" s="10" t="s">
        <v>16</v>
      </c>
      <c r="C13" s="10" t="s">
        <v>6</v>
      </c>
      <c r="D13" s="11">
        <v>44325</v>
      </c>
      <c r="E13" s="12">
        <v>2600</v>
      </c>
      <c r="F13" s="15"/>
      <c r="G13" s="15"/>
      <c r="H13" s="15"/>
    </row>
    <row r="14" spans="1:8" ht="20.100000000000001" customHeight="1" x14ac:dyDescent="0.25">
      <c r="B14" s="10" t="s">
        <v>17</v>
      </c>
      <c r="C14" s="10" t="s">
        <v>6</v>
      </c>
      <c r="D14" s="11">
        <v>44296</v>
      </c>
      <c r="E14" s="12">
        <v>700</v>
      </c>
      <c r="F14" s="15"/>
      <c r="G14" s="15"/>
      <c r="H14" s="15"/>
    </row>
    <row r="15" spans="1:8" ht="20.100000000000001" customHeight="1" x14ac:dyDescent="0.25">
      <c r="B15" s="10" t="s">
        <v>18</v>
      </c>
      <c r="C15" s="10" t="s">
        <v>8</v>
      </c>
      <c r="D15" s="11">
        <v>44371</v>
      </c>
      <c r="E15" s="12">
        <v>1200</v>
      </c>
      <c r="F15" s="15"/>
      <c r="G15" s="15"/>
      <c r="H15" s="15"/>
    </row>
    <row r="16" spans="1:8" ht="20.100000000000001" customHeight="1" x14ac:dyDescent="0.25">
      <c r="B16" s="10" t="s">
        <v>37</v>
      </c>
      <c r="C16" s="10" t="s">
        <v>6</v>
      </c>
      <c r="D16" s="11">
        <v>44359</v>
      </c>
      <c r="E16" s="12">
        <v>2200</v>
      </c>
      <c r="F16" s="15"/>
      <c r="G16" s="15"/>
      <c r="H16" s="15"/>
    </row>
    <row r="17" spans="2:8" ht="20.100000000000001" customHeight="1" x14ac:dyDescent="0.25">
      <c r="B17" s="6"/>
      <c r="C17" s="6"/>
      <c r="D17" s="7"/>
      <c r="E17" s="8"/>
      <c r="F17" s="4"/>
      <c r="G17" s="4"/>
      <c r="H17" s="4"/>
    </row>
    <row r="18" spans="2:8" ht="20.100000000000001" customHeight="1" x14ac:dyDescent="0.25">
      <c r="B18" s="6"/>
      <c r="C18" s="6"/>
      <c r="D18" s="7"/>
      <c r="E18" s="8"/>
      <c r="F18" s="4"/>
      <c r="G18" s="4"/>
      <c r="H18" s="4"/>
    </row>
    <row r="19" spans="2:8" ht="20.100000000000001" customHeight="1" x14ac:dyDescent="0.25">
      <c r="B19" s="6"/>
      <c r="C19" s="6"/>
      <c r="D19" s="7"/>
      <c r="E19" s="8"/>
      <c r="F19" s="4"/>
      <c r="G19" s="4"/>
      <c r="H19" s="4"/>
    </row>
  </sheetData>
  <mergeCells count="2">
    <mergeCell ref="B1:E1"/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E469-58E3-4501-890B-2C8A4165349A}">
  <dimension ref="A1:M19"/>
  <sheetViews>
    <sheetView showGridLines="0" workbookViewId="0">
      <selection activeCell="H8" sqref="H8"/>
    </sheetView>
  </sheetViews>
  <sheetFormatPr defaultRowHeight="20.100000000000001" customHeight="1" x14ac:dyDescent="0.25"/>
  <cols>
    <col min="1" max="1" width="3.5703125" customWidth="1"/>
    <col min="2" max="2" width="16.42578125" customWidth="1"/>
    <col min="3" max="3" width="12.7109375" customWidth="1"/>
    <col min="4" max="4" width="11" customWidth="1"/>
    <col min="5" max="5" width="11.85546875" customWidth="1"/>
    <col min="6" max="6" width="4.42578125" customWidth="1"/>
    <col min="7" max="7" width="17.28515625" customWidth="1"/>
    <col min="8" max="8" width="12.7109375" customWidth="1"/>
  </cols>
  <sheetData>
    <row r="1" spans="1:13" ht="20.100000000000001" customHeight="1" x14ac:dyDescent="0.25">
      <c r="A1" s="3" t="s">
        <v>38</v>
      </c>
      <c r="B1" s="13"/>
      <c r="C1" s="13"/>
      <c r="D1" s="13"/>
      <c r="E1" s="13"/>
    </row>
    <row r="2" spans="1:13" ht="20.100000000000001" customHeight="1" thickBot="1" x14ac:dyDescent="0.3">
      <c r="B2" s="14" t="s">
        <v>52</v>
      </c>
      <c r="C2" s="14"/>
      <c r="D2" s="14"/>
      <c r="E2" s="14"/>
      <c r="F2" s="14"/>
      <c r="G2" s="14"/>
      <c r="H2" s="14"/>
    </row>
    <row r="3" spans="1:13" ht="20.100000000000001" customHeight="1" thickTop="1" x14ac:dyDescent="0.25"/>
    <row r="4" spans="1:13" ht="20.100000000000001" customHeight="1" x14ac:dyDescent="0.25">
      <c r="B4" s="9" t="s">
        <v>2</v>
      </c>
      <c r="C4" s="9" t="s">
        <v>3</v>
      </c>
      <c r="D4" s="9" t="s">
        <v>32</v>
      </c>
      <c r="E4" s="9" t="s">
        <v>4</v>
      </c>
      <c r="F4" s="15"/>
      <c r="G4" s="15"/>
      <c r="H4" s="15"/>
    </row>
    <row r="5" spans="1:13" ht="20.100000000000001" customHeight="1" x14ac:dyDescent="0.25">
      <c r="B5" s="10" t="s">
        <v>5</v>
      </c>
      <c r="C5" s="10" t="s">
        <v>6</v>
      </c>
      <c r="D5" s="11">
        <v>44323</v>
      </c>
      <c r="E5" s="12">
        <v>2500</v>
      </c>
      <c r="F5" s="15"/>
      <c r="G5" s="15"/>
      <c r="H5" s="15"/>
    </row>
    <row r="6" spans="1:13" ht="20.100000000000001" customHeight="1" x14ac:dyDescent="0.25">
      <c r="B6" s="10" t="s">
        <v>7</v>
      </c>
      <c r="C6" s="10" t="s">
        <v>8</v>
      </c>
      <c r="D6" s="11">
        <v>44229</v>
      </c>
      <c r="E6" s="12">
        <v>150</v>
      </c>
      <c r="F6" s="15"/>
      <c r="G6" s="15"/>
      <c r="H6" s="15"/>
    </row>
    <row r="7" spans="1:13" ht="20.100000000000001" customHeight="1" x14ac:dyDescent="0.25">
      <c r="B7" s="10" t="s">
        <v>33</v>
      </c>
      <c r="C7" s="10" t="s">
        <v>8</v>
      </c>
      <c r="D7" s="11">
        <v>44258</v>
      </c>
      <c r="E7" s="12">
        <v>3000</v>
      </c>
      <c r="F7" s="15"/>
      <c r="G7" s="9" t="s">
        <v>19</v>
      </c>
      <c r="H7" s="9" t="s">
        <v>20</v>
      </c>
    </row>
    <row r="8" spans="1:13" ht="20.100000000000001" customHeight="1" x14ac:dyDescent="0.25">
      <c r="B8" s="10" t="s">
        <v>10</v>
      </c>
      <c r="C8" s="10" t="s">
        <v>6</v>
      </c>
      <c r="D8" s="11">
        <v>44351</v>
      </c>
      <c r="E8" s="12">
        <v>4000</v>
      </c>
      <c r="F8" s="15"/>
      <c r="G8" s="10" t="s">
        <v>39</v>
      </c>
      <c r="H8" s="30">
        <f>SUMIF(B5:B16,"*Apples",E5:E16)</f>
        <v>5400</v>
      </c>
    </row>
    <row r="9" spans="1:13" ht="20.100000000000001" customHeight="1" x14ac:dyDescent="0.25">
      <c r="B9" s="10" t="s">
        <v>11</v>
      </c>
      <c r="C9" s="10" t="s">
        <v>6</v>
      </c>
      <c r="D9" s="11">
        <v>44382</v>
      </c>
      <c r="E9" s="12">
        <v>2700</v>
      </c>
      <c r="F9" s="15"/>
      <c r="G9" s="15"/>
      <c r="H9" s="15"/>
    </row>
    <row r="10" spans="1:13" ht="20.100000000000001" customHeight="1" x14ac:dyDescent="0.25">
      <c r="B10" s="10" t="s">
        <v>12</v>
      </c>
      <c r="C10" s="10" t="s">
        <v>13</v>
      </c>
      <c r="D10" s="11">
        <v>44202</v>
      </c>
      <c r="E10" s="12">
        <v>600</v>
      </c>
      <c r="F10" s="15"/>
      <c r="G10" s="15"/>
      <c r="H10" s="15"/>
      <c r="M10" s="22"/>
    </row>
    <row r="11" spans="1:13" ht="20.100000000000001" customHeight="1" x14ac:dyDescent="0.25">
      <c r="B11" s="10" t="s">
        <v>14</v>
      </c>
      <c r="C11" s="10" t="s">
        <v>13</v>
      </c>
      <c r="D11" s="11">
        <v>44234</v>
      </c>
      <c r="E11" s="12">
        <v>5000</v>
      </c>
      <c r="F11" s="15"/>
      <c r="G11" s="15"/>
      <c r="H11" s="15"/>
    </row>
    <row r="12" spans="1:13" ht="20.100000000000001" customHeight="1" x14ac:dyDescent="0.25">
      <c r="B12" s="10" t="s">
        <v>15</v>
      </c>
      <c r="C12" s="10" t="s">
        <v>13</v>
      </c>
      <c r="D12" s="11">
        <v>44324</v>
      </c>
      <c r="E12" s="12">
        <v>3500</v>
      </c>
      <c r="F12" s="15"/>
      <c r="G12" s="15"/>
      <c r="H12" s="15"/>
    </row>
    <row r="13" spans="1:13" ht="20.100000000000001" customHeight="1" x14ac:dyDescent="0.25">
      <c r="B13" s="10" t="s">
        <v>16</v>
      </c>
      <c r="C13" s="10" t="s">
        <v>6</v>
      </c>
      <c r="D13" s="11">
        <v>44325</v>
      </c>
      <c r="E13" s="12">
        <v>2600</v>
      </c>
      <c r="F13" s="15"/>
      <c r="G13" s="15"/>
      <c r="H13" s="15"/>
    </row>
    <row r="14" spans="1:13" ht="20.100000000000001" customHeight="1" x14ac:dyDescent="0.25">
      <c r="B14" s="10" t="s">
        <v>37</v>
      </c>
      <c r="C14" s="10" t="s">
        <v>6</v>
      </c>
      <c r="D14" s="11">
        <v>44296</v>
      </c>
      <c r="E14" s="12">
        <v>700</v>
      </c>
      <c r="F14" s="15"/>
      <c r="G14" s="15"/>
      <c r="H14" s="15"/>
    </row>
    <row r="15" spans="1:13" ht="20.100000000000001" customHeight="1" x14ac:dyDescent="0.25">
      <c r="B15" s="10" t="s">
        <v>18</v>
      </c>
      <c r="C15" s="10" t="s">
        <v>8</v>
      </c>
      <c r="D15" s="11">
        <v>44371</v>
      </c>
      <c r="E15" s="12">
        <v>1200</v>
      </c>
      <c r="F15" s="15"/>
      <c r="G15" s="15"/>
      <c r="H15" s="15"/>
    </row>
    <row r="16" spans="1:13" ht="20.100000000000001" customHeight="1" x14ac:dyDescent="0.25">
      <c r="B16" s="10" t="s">
        <v>37</v>
      </c>
      <c r="C16" s="10" t="s">
        <v>6</v>
      </c>
      <c r="D16" s="11">
        <v>44359</v>
      </c>
      <c r="E16" s="12">
        <v>2200</v>
      </c>
      <c r="F16" s="15"/>
      <c r="G16" s="15"/>
      <c r="H16" s="15"/>
    </row>
    <row r="17" spans="2:8" ht="20.100000000000001" customHeight="1" x14ac:dyDescent="0.25">
      <c r="B17" s="6"/>
      <c r="C17" s="6"/>
      <c r="D17" s="7"/>
      <c r="E17" s="8"/>
      <c r="F17" s="4"/>
      <c r="G17" s="4"/>
      <c r="H17" s="4"/>
    </row>
    <row r="18" spans="2:8" ht="20.100000000000001" customHeight="1" x14ac:dyDescent="0.25">
      <c r="B18" s="6"/>
      <c r="C18" s="6"/>
      <c r="D18" s="7"/>
      <c r="E18" s="8"/>
      <c r="F18" s="4"/>
      <c r="G18" s="4"/>
      <c r="H18" s="4"/>
    </row>
    <row r="19" spans="2:8" ht="20.100000000000001" customHeight="1" x14ac:dyDescent="0.25">
      <c r="B19" s="6"/>
      <c r="C19" s="6"/>
      <c r="D19" s="7"/>
      <c r="E19" s="8"/>
      <c r="F19" s="4"/>
      <c r="G19" s="4"/>
      <c r="H19" s="4"/>
    </row>
  </sheetData>
  <mergeCells count="2">
    <mergeCell ref="B1:E1"/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84C5-5A93-4907-989D-954AEC5B3BBC}">
  <dimension ref="A1:H19"/>
  <sheetViews>
    <sheetView showGridLines="0" workbookViewId="0">
      <selection activeCell="H8" sqref="H8"/>
    </sheetView>
  </sheetViews>
  <sheetFormatPr defaultRowHeight="20.100000000000001" customHeight="1" x14ac:dyDescent="0.25"/>
  <cols>
    <col min="1" max="1" width="3.7109375" customWidth="1"/>
    <col min="2" max="2" width="15.85546875" customWidth="1"/>
    <col min="3" max="3" width="11.5703125" customWidth="1"/>
    <col min="4" max="4" width="10.85546875" customWidth="1"/>
    <col min="5" max="5" width="13.85546875" customWidth="1"/>
    <col min="6" max="6" width="1.42578125" customWidth="1"/>
    <col min="7" max="7" width="19.85546875" customWidth="1"/>
    <col min="8" max="8" width="12" customWidth="1"/>
  </cols>
  <sheetData>
    <row r="1" spans="1:8" ht="20.100000000000001" customHeight="1" x14ac:dyDescent="0.25">
      <c r="A1" s="3" t="s">
        <v>40</v>
      </c>
      <c r="B1" s="13"/>
      <c r="C1" s="13"/>
      <c r="D1" s="13"/>
      <c r="E1" s="13"/>
      <c r="F1" s="13"/>
      <c r="G1" s="13"/>
    </row>
    <row r="2" spans="1:8" ht="20.100000000000001" customHeight="1" thickBot="1" x14ac:dyDescent="0.3">
      <c r="B2" s="14" t="s">
        <v>53</v>
      </c>
      <c r="C2" s="14"/>
      <c r="D2" s="14"/>
      <c r="E2" s="14"/>
      <c r="F2" s="14"/>
      <c r="G2" s="14"/>
      <c r="H2" s="14"/>
    </row>
    <row r="3" spans="1:8" ht="20.100000000000001" customHeight="1" thickTop="1" x14ac:dyDescent="0.25"/>
    <row r="4" spans="1:8" ht="20.100000000000001" customHeight="1" x14ac:dyDescent="0.25">
      <c r="B4" s="9" t="s">
        <v>2</v>
      </c>
      <c r="C4" s="9" t="s">
        <v>3</v>
      </c>
      <c r="D4" s="9" t="s">
        <v>32</v>
      </c>
      <c r="E4" s="9" t="s">
        <v>4</v>
      </c>
      <c r="F4" s="15"/>
      <c r="G4" s="15"/>
      <c r="H4" s="15"/>
    </row>
    <row r="5" spans="1:8" ht="20.100000000000001" customHeight="1" x14ac:dyDescent="0.25">
      <c r="B5" s="10" t="s">
        <v>5</v>
      </c>
      <c r="C5" s="10" t="s">
        <v>6</v>
      </c>
      <c r="D5" s="11">
        <v>44323</v>
      </c>
      <c r="E5" s="12">
        <v>2500</v>
      </c>
      <c r="F5" s="15"/>
      <c r="G5" s="15"/>
      <c r="H5" s="15"/>
    </row>
    <row r="6" spans="1:8" ht="20.100000000000001" customHeight="1" x14ac:dyDescent="0.25">
      <c r="B6" s="10" t="s">
        <v>7</v>
      </c>
      <c r="C6" s="10" t="s">
        <v>8</v>
      </c>
      <c r="D6" s="11">
        <v>44229</v>
      </c>
      <c r="E6" s="12">
        <v>150</v>
      </c>
      <c r="F6" s="15"/>
      <c r="G6" s="15"/>
      <c r="H6" s="15"/>
    </row>
    <row r="7" spans="1:8" ht="20.100000000000001" customHeight="1" x14ac:dyDescent="0.25">
      <c r="B7" s="10" t="s">
        <v>33</v>
      </c>
      <c r="C7" s="10" t="s">
        <v>8</v>
      </c>
      <c r="D7" s="11">
        <v>44258</v>
      </c>
      <c r="E7" s="12">
        <v>3000</v>
      </c>
      <c r="F7" s="15"/>
      <c r="G7" s="9" t="s">
        <v>19</v>
      </c>
      <c r="H7" s="9" t="s">
        <v>20</v>
      </c>
    </row>
    <row r="8" spans="1:8" ht="20.100000000000001" customHeight="1" x14ac:dyDescent="0.25">
      <c r="B8" s="10" t="s">
        <v>10</v>
      </c>
      <c r="C8" s="10" t="s">
        <v>6</v>
      </c>
      <c r="D8" s="11">
        <v>44351</v>
      </c>
      <c r="E8" s="12">
        <v>4000</v>
      </c>
      <c r="F8" s="15"/>
      <c r="G8" s="10" t="s">
        <v>41</v>
      </c>
      <c r="H8" s="31">
        <f>SUMIF(D5:D16,"&gt;"&amp;DATE(2021,4,1),E5:E16)</f>
        <v>19400</v>
      </c>
    </row>
    <row r="9" spans="1:8" ht="20.100000000000001" customHeight="1" x14ac:dyDescent="0.25">
      <c r="B9" s="10" t="s">
        <v>11</v>
      </c>
      <c r="C9" s="10" t="s">
        <v>6</v>
      </c>
      <c r="D9" s="11">
        <v>44382</v>
      </c>
      <c r="E9" s="12">
        <v>2700</v>
      </c>
      <c r="F9" s="15"/>
      <c r="G9" s="15"/>
      <c r="H9" s="15"/>
    </row>
    <row r="10" spans="1:8" ht="20.100000000000001" customHeight="1" x14ac:dyDescent="0.25">
      <c r="B10" s="10" t="s">
        <v>12</v>
      </c>
      <c r="C10" s="10" t="s">
        <v>13</v>
      </c>
      <c r="D10" s="11">
        <v>44202</v>
      </c>
      <c r="E10" s="12">
        <v>600</v>
      </c>
      <c r="F10" s="15"/>
      <c r="G10" s="15"/>
      <c r="H10" s="15"/>
    </row>
    <row r="11" spans="1:8" ht="20.100000000000001" customHeight="1" x14ac:dyDescent="0.25">
      <c r="B11" s="10" t="s">
        <v>14</v>
      </c>
      <c r="C11" s="10" t="s">
        <v>13</v>
      </c>
      <c r="D11" s="11">
        <v>44234</v>
      </c>
      <c r="E11" s="12">
        <v>5000</v>
      </c>
      <c r="F11" s="15"/>
      <c r="G11" s="15"/>
      <c r="H11" s="15"/>
    </row>
    <row r="12" spans="1:8" ht="20.100000000000001" customHeight="1" x14ac:dyDescent="0.25">
      <c r="B12" s="10" t="s">
        <v>15</v>
      </c>
      <c r="C12" s="10" t="s">
        <v>13</v>
      </c>
      <c r="D12" s="11">
        <v>44324</v>
      </c>
      <c r="E12" s="12">
        <v>3500</v>
      </c>
      <c r="F12" s="15"/>
      <c r="G12" s="15"/>
      <c r="H12" s="15"/>
    </row>
    <row r="13" spans="1:8" ht="20.100000000000001" customHeight="1" x14ac:dyDescent="0.25">
      <c r="B13" s="10" t="s">
        <v>16</v>
      </c>
      <c r="C13" s="10" t="s">
        <v>6</v>
      </c>
      <c r="D13" s="11">
        <v>44325</v>
      </c>
      <c r="E13" s="12">
        <v>2600</v>
      </c>
      <c r="F13" s="15"/>
      <c r="G13" s="15"/>
      <c r="H13" s="15"/>
    </row>
    <row r="14" spans="1:8" ht="20.100000000000001" customHeight="1" x14ac:dyDescent="0.25">
      <c r="B14" s="10" t="s">
        <v>37</v>
      </c>
      <c r="C14" s="10" t="s">
        <v>6</v>
      </c>
      <c r="D14" s="11">
        <v>44296</v>
      </c>
      <c r="E14" s="12">
        <v>700</v>
      </c>
      <c r="F14" s="15"/>
      <c r="G14" s="15"/>
      <c r="H14" s="15"/>
    </row>
    <row r="15" spans="1:8" ht="20.100000000000001" customHeight="1" x14ac:dyDescent="0.25">
      <c r="B15" s="10" t="s">
        <v>18</v>
      </c>
      <c r="C15" s="10" t="s">
        <v>8</v>
      </c>
      <c r="D15" s="11">
        <v>44371</v>
      </c>
      <c r="E15" s="12">
        <v>1200</v>
      </c>
      <c r="F15" s="15"/>
      <c r="G15" s="15"/>
      <c r="H15" s="15"/>
    </row>
    <row r="16" spans="1:8" ht="20.100000000000001" customHeight="1" x14ac:dyDescent="0.25">
      <c r="B16" s="10" t="s">
        <v>37</v>
      </c>
      <c r="C16" s="10" t="s">
        <v>6</v>
      </c>
      <c r="D16" s="11">
        <v>44359</v>
      </c>
      <c r="E16" s="12">
        <v>2200</v>
      </c>
      <c r="F16" s="15"/>
      <c r="G16" s="15"/>
      <c r="H16" s="15"/>
    </row>
    <row r="17" spans="2:8" ht="20.100000000000001" customHeight="1" x14ac:dyDescent="0.25">
      <c r="B17" s="6"/>
      <c r="C17" s="6"/>
      <c r="D17" s="7"/>
      <c r="E17" s="8"/>
      <c r="F17" s="4"/>
      <c r="G17" s="4"/>
      <c r="H17" s="4"/>
    </row>
    <row r="18" spans="2:8" ht="20.100000000000001" customHeight="1" x14ac:dyDescent="0.25">
      <c r="B18" s="6"/>
      <c r="C18" s="6"/>
      <c r="D18" s="7"/>
      <c r="E18" s="8"/>
      <c r="F18" s="4"/>
      <c r="G18" s="4"/>
      <c r="H18" s="4"/>
    </row>
    <row r="19" spans="2:8" ht="20.100000000000001" customHeight="1" x14ac:dyDescent="0.25">
      <c r="B19" s="6"/>
      <c r="C19" s="6"/>
      <c r="D19" s="7"/>
      <c r="E19" s="8"/>
      <c r="F19" s="4"/>
      <c r="G19" s="4"/>
      <c r="H19" s="4"/>
    </row>
  </sheetData>
  <mergeCells count="2">
    <mergeCell ref="B2:H2"/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CB14-A0DB-44FE-92CA-EAA89A176FD3}">
  <dimension ref="A1:H19"/>
  <sheetViews>
    <sheetView showGridLines="0" workbookViewId="0">
      <selection activeCell="H8" sqref="H8:H10"/>
    </sheetView>
  </sheetViews>
  <sheetFormatPr defaultRowHeight="20.100000000000001" customHeight="1" x14ac:dyDescent="0.25"/>
  <cols>
    <col min="1" max="1" width="4" customWidth="1"/>
    <col min="2" max="2" width="15.85546875" customWidth="1"/>
    <col min="3" max="3" width="12.140625" customWidth="1"/>
    <col min="4" max="4" width="12.28515625" customWidth="1"/>
    <col min="5" max="5" width="13.85546875" customWidth="1"/>
    <col min="6" max="6" width="1.28515625" customWidth="1"/>
    <col min="7" max="7" width="16.42578125" customWidth="1"/>
    <col min="8" max="8" width="12" customWidth="1"/>
  </cols>
  <sheetData>
    <row r="1" spans="1:8" ht="20.100000000000001" customHeight="1" x14ac:dyDescent="0.25">
      <c r="A1" s="3" t="s">
        <v>42</v>
      </c>
      <c r="B1" s="13"/>
      <c r="C1" s="13"/>
      <c r="D1" s="13"/>
      <c r="E1" s="13"/>
      <c r="F1" s="13"/>
    </row>
    <row r="2" spans="1:8" ht="20.100000000000001" customHeight="1" thickBot="1" x14ac:dyDescent="0.3">
      <c r="B2" s="14" t="s">
        <v>54</v>
      </c>
      <c r="C2" s="14"/>
      <c r="D2" s="14"/>
      <c r="E2" s="14"/>
    </row>
    <row r="3" spans="1:8" ht="20.100000000000001" customHeight="1" thickTop="1" x14ac:dyDescent="0.25"/>
    <row r="4" spans="1:8" ht="20.100000000000001" customHeight="1" x14ac:dyDescent="0.25">
      <c r="B4" s="9" t="s">
        <v>2</v>
      </c>
      <c r="C4" s="9" t="s">
        <v>3</v>
      </c>
      <c r="D4" s="9" t="s">
        <v>32</v>
      </c>
      <c r="E4" s="9" t="s">
        <v>4</v>
      </c>
      <c r="F4" s="15"/>
      <c r="G4" s="15"/>
      <c r="H4" s="15"/>
    </row>
    <row r="5" spans="1:8" ht="20.100000000000001" customHeight="1" x14ac:dyDescent="0.25">
      <c r="B5" s="10" t="s">
        <v>5</v>
      </c>
      <c r="C5" s="10" t="s">
        <v>6</v>
      </c>
      <c r="D5" s="11">
        <v>44323</v>
      </c>
      <c r="E5" s="12">
        <v>2500</v>
      </c>
      <c r="F5" s="15"/>
      <c r="G5" s="15"/>
      <c r="H5" s="15"/>
    </row>
    <row r="6" spans="1:8" ht="20.100000000000001" customHeight="1" x14ac:dyDescent="0.25">
      <c r="B6" s="10" t="s">
        <v>7</v>
      </c>
      <c r="C6" s="10" t="s">
        <v>8</v>
      </c>
      <c r="D6" s="11">
        <v>44229</v>
      </c>
      <c r="E6" s="12">
        <v>150</v>
      </c>
      <c r="F6" s="15"/>
      <c r="G6" s="15"/>
      <c r="H6" s="15"/>
    </row>
    <row r="7" spans="1:8" ht="20.100000000000001" customHeight="1" x14ac:dyDescent="0.25">
      <c r="B7" s="10" t="s">
        <v>33</v>
      </c>
      <c r="C7" s="10" t="s">
        <v>8</v>
      </c>
      <c r="D7" s="11">
        <v>44258</v>
      </c>
      <c r="E7" s="12">
        <v>3000</v>
      </c>
      <c r="F7" s="15"/>
      <c r="G7" s="9" t="s">
        <v>19</v>
      </c>
      <c r="H7" s="9" t="s">
        <v>20</v>
      </c>
    </row>
    <row r="8" spans="1:8" ht="20.100000000000001" customHeight="1" x14ac:dyDescent="0.25">
      <c r="B8" s="10" t="s">
        <v>10</v>
      </c>
      <c r="C8" s="10" t="s">
        <v>6</v>
      </c>
      <c r="D8" s="11">
        <v>44351</v>
      </c>
      <c r="E8" s="12">
        <v>4000</v>
      </c>
      <c r="F8" s="15"/>
      <c r="G8" s="16" t="s">
        <v>43</v>
      </c>
      <c r="H8" s="32">
        <f>SUMIF(C5:C16,"Vegetables",E5:E16)+SUMIF(E5:E16,"&gt;1000",E5:E16)</f>
        <v>31050</v>
      </c>
    </row>
    <row r="9" spans="1:8" ht="20.100000000000001" customHeight="1" x14ac:dyDescent="0.25">
      <c r="B9" s="10" t="s">
        <v>11</v>
      </c>
      <c r="C9" s="10" t="s">
        <v>6</v>
      </c>
      <c r="D9" s="11">
        <v>44382</v>
      </c>
      <c r="E9" s="12">
        <v>2700</v>
      </c>
      <c r="F9" s="15"/>
      <c r="G9" s="17"/>
      <c r="H9" s="32"/>
    </row>
    <row r="10" spans="1:8" ht="20.100000000000001" customHeight="1" x14ac:dyDescent="0.25">
      <c r="B10" s="10" t="s">
        <v>12</v>
      </c>
      <c r="C10" s="10" t="s">
        <v>13</v>
      </c>
      <c r="D10" s="11">
        <v>44202</v>
      </c>
      <c r="E10" s="12">
        <v>600</v>
      </c>
      <c r="F10" s="15"/>
      <c r="G10" s="18"/>
      <c r="H10" s="32"/>
    </row>
    <row r="11" spans="1:8" ht="20.100000000000001" customHeight="1" x14ac:dyDescent="0.25">
      <c r="B11" s="10" t="s">
        <v>14</v>
      </c>
      <c r="C11" s="10" t="s">
        <v>13</v>
      </c>
      <c r="D11" s="11">
        <v>44234</v>
      </c>
      <c r="E11" s="12">
        <v>5000</v>
      </c>
      <c r="F11" s="15"/>
      <c r="G11" s="15"/>
      <c r="H11" s="15"/>
    </row>
    <row r="12" spans="1:8" ht="20.100000000000001" customHeight="1" x14ac:dyDescent="0.25">
      <c r="B12" s="10" t="s">
        <v>15</v>
      </c>
      <c r="C12" s="10" t="s">
        <v>13</v>
      </c>
      <c r="D12" s="11">
        <v>44324</v>
      </c>
      <c r="E12" s="12">
        <v>3500</v>
      </c>
      <c r="F12" s="15"/>
      <c r="G12" s="15"/>
      <c r="H12" s="15"/>
    </row>
    <row r="13" spans="1:8" ht="20.100000000000001" customHeight="1" x14ac:dyDescent="0.25">
      <c r="B13" s="10" t="s">
        <v>16</v>
      </c>
      <c r="C13" s="10" t="s">
        <v>6</v>
      </c>
      <c r="D13" s="11">
        <v>44325</v>
      </c>
      <c r="E13" s="12">
        <v>2600</v>
      </c>
      <c r="F13" s="15"/>
      <c r="G13" s="15"/>
      <c r="H13" s="15"/>
    </row>
    <row r="14" spans="1:8" ht="20.100000000000001" customHeight="1" x14ac:dyDescent="0.25">
      <c r="B14" s="10" t="s">
        <v>37</v>
      </c>
      <c r="C14" s="10" t="s">
        <v>6</v>
      </c>
      <c r="D14" s="11">
        <v>44296</v>
      </c>
      <c r="E14" s="12">
        <v>700</v>
      </c>
      <c r="F14" s="15"/>
      <c r="G14" s="15"/>
      <c r="H14" s="15"/>
    </row>
    <row r="15" spans="1:8" ht="20.100000000000001" customHeight="1" x14ac:dyDescent="0.25">
      <c r="B15" s="10" t="s">
        <v>18</v>
      </c>
      <c r="C15" s="10" t="s">
        <v>8</v>
      </c>
      <c r="D15" s="11">
        <v>44371</v>
      </c>
      <c r="E15" s="12">
        <v>1200</v>
      </c>
      <c r="F15" s="15"/>
      <c r="G15" s="15"/>
      <c r="H15" s="15"/>
    </row>
    <row r="16" spans="1:8" ht="20.100000000000001" customHeight="1" x14ac:dyDescent="0.25">
      <c r="B16" s="10" t="s">
        <v>37</v>
      </c>
      <c r="C16" s="10" t="s">
        <v>6</v>
      </c>
      <c r="D16" s="11">
        <v>44359</v>
      </c>
      <c r="E16" s="12">
        <v>2200</v>
      </c>
      <c r="F16" s="15"/>
      <c r="G16" s="15"/>
      <c r="H16" s="15"/>
    </row>
    <row r="17" spans="2:8" ht="20.100000000000001" customHeight="1" x14ac:dyDescent="0.25">
      <c r="B17" s="6"/>
      <c r="C17" s="6"/>
      <c r="D17" s="7"/>
      <c r="E17" s="8"/>
      <c r="F17" s="4"/>
      <c r="G17" s="4"/>
      <c r="H17" s="4"/>
    </row>
    <row r="18" spans="2:8" ht="20.100000000000001" customHeight="1" x14ac:dyDescent="0.25">
      <c r="B18" s="6"/>
      <c r="C18" s="6"/>
      <c r="D18" s="7"/>
      <c r="E18" s="8"/>
      <c r="F18" s="4"/>
      <c r="G18" s="4"/>
      <c r="H18" s="4"/>
    </row>
    <row r="19" spans="2:8" ht="20.100000000000001" customHeight="1" x14ac:dyDescent="0.25">
      <c r="B19" s="6"/>
      <c r="C19" s="6"/>
      <c r="D19" s="7"/>
      <c r="E19" s="8"/>
      <c r="F19" s="4"/>
      <c r="G19" s="4"/>
      <c r="H19" s="4"/>
    </row>
  </sheetData>
  <mergeCells count="4">
    <mergeCell ref="G8:G10"/>
    <mergeCell ref="B2:E2"/>
    <mergeCell ref="B1:F1"/>
    <mergeCell ref="H8:H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B626-B054-42C2-A231-D57607D86B01}">
  <dimension ref="A1:J19"/>
  <sheetViews>
    <sheetView showGridLines="0" workbookViewId="0">
      <selection activeCell="H8" sqref="H8:H9"/>
    </sheetView>
  </sheetViews>
  <sheetFormatPr defaultRowHeight="20.100000000000001" customHeight="1" x14ac:dyDescent="0.25"/>
  <cols>
    <col min="1" max="1" width="4" customWidth="1"/>
    <col min="2" max="2" width="15.85546875" customWidth="1"/>
    <col min="3" max="3" width="12.5703125" customWidth="1"/>
    <col min="4" max="4" width="11.85546875" customWidth="1"/>
    <col min="5" max="5" width="13.85546875" customWidth="1"/>
    <col min="6" max="6" width="1.5703125" customWidth="1"/>
    <col min="7" max="7" width="19.28515625" customWidth="1"/>
    <col min="8" max="8" width="13.28515625" customWidth="1"/>
  </cols>
  <sheetData>
    <row r="1" spans="1:10" ht="20.100000000000001" customHeight="1" x14ac:dyDescent="0.25">
      <c r="A1" s="3" t="s">
        <v>44</v>
      </c>
      <c r="B1" s="13"/>
      <c r="C1" s="13"/>
      <c r="D1" s="13"/>
      <c r="E1" s="13"/>
    </row>
    <row r="2" spans="1:10" ht="20.100000000000001" customHeight="1" thickBot="1" x14ac:dyDescent="0.3">
      <c r="B2" s="14" t="s">
        <v>55</v>
      </c>
      <c r="C2" s="14"/>
      <c r="D2" s="14"/>
      <c r="E2" s="14"/>
    </row>
    <row r="3" spans="1:10" ht="20.100000000000001" customHeight="1" thickTop="1" x14ac:dyDescent="0.25"/>
    <row r="4" spans="1:10" ht="20.100000000000001" customHeight="1" x14ac:dyDescent="0.25">
      <c r="B4" s="9" t="s">
        <v>2</v>
      </c>
      <c r="C4" s="9" t="s">
        <v>3</v>
      </c>
      <c r="D4" s="9" t="s">
        <v>32</v>
      </c>
      <c r="E4" s="9" t="s">
        <v>4</v>
      </c>
      <c r="F4" s="15"/>
      <c r="G4" s="15"/>
      <c r="H4" s="15"/>
      <c r="I4" s="4"/>
      <c r="J4" s="4"/>
    </row>
    <row r="5" spans="1:10" ht="20.100000000000001" customHeight="1" x14ac:dyDescent="0.25">
      <c r="B5" s="10" t="s">
        <v>5</v>
      </c>
      <c r="C5" s="10" t="s">
        <v>6</v>
      </c>
      <c r="D5" s="11">
        <v>44323</v>
      </c>
      <c r="E5" s="12">
        <v>2500</v>
      </c>
      <c r="F5" s="15"/>
      <c r="G5" s="15"/>
      <c r="H5" s="15"/>
      <c r="I5" s="4"/>
      <c r="J5" s="4"/>
    </row>
    <row r="6" spans="1:10" ht="20.100000000000001" customHeight="1" x14ac:dyDescent="0.25">
      <c r="B6" s="10" t="s">
        <v>7</v>
      </c>
      <c r="C6" s="10" t="s">
        <v>8</v>
      </c>
      <c r="D6" s="11">
        <v>44229</v>
      </c>
      <c r="E6" s="12">
        <v>150</v>
      </c>
      <c r="F6" s="15"/>
      <c r="G6" s="15"/>
      <c r="H6" s="15"/>
      <c r="I6" s="4"/>
      <c r="J6" s="4"/>
    </row>
    <row r="7" spans="1:10" ht="20.100000000000001" customHeight="1" x14ac:dyDescent="0.25">
      <c r="B7" s="10" t="s">
        <v>33</v>
      </c>
      <c r="C7" s="10" t="s">
        <v>8</v>
      </c>
      <c r="D7" s="11">
        <v>44258</v>
      </c>
      <c r="E7" s="12">
        <v>3000</v>
      </c>
      <c r="F7" s="15"/>
      <c r="G7" s="9" t="s">
        <v>19</v>
      </c>
      <c r="H7" s="9" t="s">
        <v>20</v>
      </c>
      <c r="I7" s="4"/>
      <c r="J7" s="4"/>
    </row>
    <row r="8" spans="1:10" ht="20.100000000000001" customHeight="1" x14ac:dyDescent="0.25">
      <c r="B8" s="10" t="s">
        <v>10</v>
      </c>
      <c r="C8" s="10" t="s">
        <v>6</v>
      </c>
      <c r="D8" s="11">
        <v>44351</v>
      </c>
      <c r="E8" s="12">
        <v>4000</v>
      </c>
      <c r="F8" s="15"/>
      <c r="G8" s="16" t="s">
        <v>45</v>
      </c>
      <c r="H8" s="32" cm="1">
        <f t="array" ref="H8">SUM(SUMIF(C5:C16,{"Fruits","Dairy"},E5:E16))</f>
        <v>23800</v>
      </c>
      <c r="I8" s="4"/>
      <c r="J8" s="4"/>
    </row>
    <row r="9" spans="1:10" ht="20.100000000000001" customHeight="1" x14ac:dyDescent="0.25">
      <c r="B9" s="10" t="s">
        <v>11</v>
      </c>
      <c r="C9" s="10" t="s">
        <v>6</v>
      </c>
      <c r="D9" s="11">
        <v>44382</v>
      </c>
      <c r="E9" s="12">
        <v>2700</v>
      </c>
      <c r="F9" s="15"/>
      <c r="G9" s="18"/>
      <c r="H9" s="32"/>
      <c r="I9" s="4"/>
      <c r="J9" s="4"/>
    </row>
    <row r="10" spans="1:10" ht="20.100000000000001" customHeight="1" x14ac:dyDescent="0.25">
      <c r="B10" s="10" t="s">
        <v>12</v>
      </c>
      <c r="C10" s="10" t="s">
        <v>13</v>
      </c>
      <c r="D10" s="11">
        <v>44202</v>
      </c>
      <c r="E10" s="12">
        <v>600</v>
      </c>
      <c r="F10" s="15"/>
      <c r="G10" s="19"/>
      <c r="H10" s="15"/>
      <c r="I10" s="4"/>
      <c r="J10" s="4"/>
    </row>
    <row r="11" spans="1:10" ht="20.100000000000001" customHeight="1" x14ac:dyDescent="0.25">
      <c r="B11" s="10" t="s">
        <v>14</v>
      </c>
      <c r="C11" s="10" t="s">
        <v>13</v>
      </c>
      <c r="D11" s="11">
        <v>44234</v>
      </c>
      <c r="E11" s="12">
        <v>5000</v>
      </c>
      <c r="F11" s="15"/>
      <c r="G11" s="15"/>
      <c r="H11" s="15"/>
      <c r="I11" s="4"/>
      <c r="J11" s="4"/>
    </row>
    <row r="12" spans="1:10" ht="20.100000000000001" customHeight="1" x14ac:dyDescent="0.25">
      <c r="B12" s="10" t="s">
        <v>15</v>
      </c>
      <c r="C12" s="10" t="s">
        <v>13</v>
      </c>
      <c r="D12" s="11">
        <v>44324</v>
      </c>
      <c r="E12" s="12">
        <v>3500</v>
      </c>
      <c r="F12" s="15"/>
      <c r="G12" s="15"/>
      <c r="H12" s="15"/>
      <c r="I12" s="4"/>
      <c r="J12" s="4"/>
    </row>
    <row r="13" spans="1:10" ht="20.100000000000001" customHeight="1" x14ac:dyDescent="0.25">
      <c r="B13" s="10" t="s">
        <v>16</v>
      </c>
      <c r="C13" s="10" t="s">
        <v>6</v>
      </c>
      <c r="D13" s="11">
        <v>44325</v>
      </c>
      <c r="E13" s="12">
        <v>2600</v>
      </c>
      <c r="F13" s="15"/>
      <c r="G13" s="15"/>
      <c r="H13" s="15"/>
      <c r="I13" s="4"/>
      <c r="J13" s="4"/>
    </row>
    <row r="14" spans="1:10" ht="20.100000000000001" customHeight="1" x14ac:dyDescent="0.25">
      <c r="B14" s="10" t="s">
        <v>37</v>
      </c>
      <c r="C14" s="10" t="s">
        <v>6</v>
      </c>
      <c r="D14" s="11">
        <v>44296</v>
      </c>
      <c r="E14" s="12">
        <v>700</v>
      </c>
      <c r="F14" s="15"/>
      <c r="G14" s="15"/>
      <c r="H14" s="15"/>
      <c r="I14" s="4"/>
      <c r="J14" s="4"/>
    </row>
    <row r="15" spans="1:10" ht="20.100000000000001" customHeight="1" x14ac:dyDescent="0.25">
      <c r="B15" s="10" t="s">
        <v>18</v>
      </c>
      <c r="C15" s="10" t="s">
        <v>8</v>
      </c>
      <c r="D15" s="11">
        <v>44371</v>
      </c>
      <c r="E15" s="12">
        <v>1200</v>
      </c>
      <c r="F15" s="15"/>
      <c r="G15" s="15"/>
      <c r="H15" s="15"/>
      <c r="I15" s="4"/>
      <c r="J15" s="4"/>
    </row>
    <row r="16" spans="1:10" ht="20.100000000000001" customHeight="1" x14ac:dyDescent="0.25">
      <c r="B16" s="10" t="s">
        <v>37</v>
      </c>
      <c r="C16" s="10" t="s">
        <v>6</v>
      </c>
      <c r="D16" s="11">
        <v>44359</v>
      </c>
      <c r="E16" s="12">
        <v>2200</v>
      </c>
      <c r="F16" s="15"/>
      <c r="G16" s="15"/>
      <c r="H16" s="15"/>
      <c r="I16" s="4"/>
      <c r="J16" s="4"/>
    </row>
    <row r="17" spans="2:10" ht="20.100000000000001" customHeight="1" x14ac:dyDescent="0.25">
      <c r="B17" s="6"/>
      <c r="C17" s="6"/>
      <c r="D17" s="7"/>
      <c r="E17" s="8"/>
      <c r="F17" s="4"/>
      <c r="G17" s="4"/>
      <c r="H17" s="4"/>
      <c r="I17" s="4"/>
      <c r="J17" s="4"/>
    </row>
    <row r="18" spans="2:10" ht="20.100000000000001" customHeight="1" x14ac:dyDescent="0.25">
      <c r="B18" s="6"/>
      <c r="C18" s="6"/>
      <c r="D18" s="7"/>
      <c r="E18" s="8"/>
      <c r="F18" s="4"/>
      <c r="G18" s="4"/>
      <c r="H18" s="4"/>
      <c r="I18" s="4"/>
      <c r="J18" s="4"/>
    </row>
    <row r="19" spans="2:10" ht="20.100000000000001" customHeight="1" x14ac:dyDescent="0.25">
      <c r="B19" s="6"/>
      <c r="C19" s="6"/>
      <c r="D19" s="7"/>
      <c r="E19" s="8"/>
      <c r="F19" s="4"/>
      <c r="G19" s="4"/>
      <c r="H19" s="4"/>
      <c r="I19" s="4"/>
      <c r="J19" s="4"/>
    </row>
  </sheetData>
  <mergeCells count="4">
    <mergeCell ref="G8:G9"/>
    <mergeCell ref="B2:E2"/>
    <mergeCell ref="B1:E1"/>
    <mergeCell ref="H8:H9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8159-56FC-4FE3-B3F9-99B153A159DC}">
  <dimension ref="B2:G13"/>
  <sheetViews>
    <sheetView showGridLines="0" workbookViewId="0">
      <selection activeCell="C13" sqref="C13"/>
    </sheetView>
  </sheetViews>
  <sheetFormatPr defaultRowHeight="20.100000000000001" customHeight="1" x14ac:dyDescent="0.25"/>
  <cols>
    <col min="1" max="1" width="4.28515625" customWidth="1"/>
    <col min="2" max="2" width="14.42578125" customWidth="1"/>
    <col min="3" max="3" width="12.85546875" customWidth="1"/>
    <col min="4" max="4" width="13.140625" customWidth="1"/>
    <col min="5" max="5" width="17.28515625" customWidth="1"/>
    <col min="6" max="6" width="17.7109375" customWidth="1"/>
    <col min="7" max="7" width="11.5703125" customWidth="1"/>
    <col min="8" max="8" width="3.7109375" customWidth="1"/>
  </cols>
  <sheetData>
    <row r="2" spans="2:7" ht="20.100000000000001" customHeight="1" thickBot="1" x14ac:dyDescent="0.3">
      <c r="B2" s="14" t="s">
        <v>69</v>
      </c>
      <c r="C2" s="14"/>
      <c r="D2" s="14"/>
      <c r="E2" s="14"/>
      <c r="F2" s="14"/>
      <c r="G2" s="14"/>
    </row>
    <row r="3" spans="2:7" ht="20.100000000000001" customHeight="1" thickTop="1" x14ac:dyDescent="0.25"/>
    <row r="4" spans="2:7" ht="20.100000000000001" customHeight="1" x14ac:dyDescent="0.25">
      <c r="B4" s="20" t="s">
        <v>56</v>
      </c>
      <c r="C4" s="20" t="s">
        <v>57</v>
      </c>
      <c r="D4" s="20" t="s">
        <v>58</v>
      </c>
      <c r="E4" s="20" t="s">
        <v>59</v>
      </c>
      <c r="F4" s="20" t="s">
        <v>60</v>
      </c>
      <c r="G4" s="20" t="s">
        <v>61</v>
      </c>
    </row>
    <row r="5" spans="2:7" ht="20.100000000000001" customHeight="1" x14ac:dyDescent="0.25">
      <c r="B5" s="10" t="s">
        <v>62</v>
      </c>
      <c r="C5" s="21">
        <v>44197</v>
      </c>
      <c r="D5" s="21">
        <v>44531</v>
      </c>
      <c r="E5" s="12">
        <v>10</v>
      </c>
      <c r="F5" s="10">
        <v>50</v>
      </c>
      <c r="G5" s="12">
        <f>F5*E5</f>
        <v>500</v>
      </c>
    </row>
    <row r="6" spans="2:7" ht="20.100000000000001" customHeight="1" x14ac:dyDescent="0.25">
      <c r="B6" s="10" t="s">
        <v>63</v>
      </c>
      <c r="C6" s="21">
        <v>44075</v>
      </c>
      <c r="D6" s="21">
        <v>44228</v>
      </c>
      <c r="E6" s="12">
        <v>20</v>
      </c>
      <c r="F6" s="10">
        <v>150</v>
      </c>
      <c r="G6" s="12">
        <f t="shared" ref="G6:G10" si="0">F6*E6</f>
        <v>3000</v>
      </c>
    </row>
    <row r="7" spans="2:7" ht="20.100000000000001" customHeight="1" x14ac:dyDescent="0.25">
      <c r="B7" s="10" t="s">
        <v>64</v>
      </c>
      <c r="C7" s="21">
        <v>44348</v>
      </c>
      <c r="D7" s="21">
        <v>44470</v>
      </c>
      <c r="E7" s="12">
        <v>15</v>
      </c>
      <c r="F7" s="10">
        <v>200</v>
      </c>
      <c r="G7" s="12">
        <f t="shared" si="0"/>
        <v>3000</v>
      </c>
    </row>
    <row r="8" spans="2:7" ht="20.100000000000001" customHeight="1" x14ac:dyDescent="0.25">
      <c r="B8" s="10" t="s">
        <v>65</v>
      </c>
      <c r="C8" s="21">
        <v>44287</v>
      </c>
      <c r="D8" s="21">
        <v>44531</v>
      </c>
      <c r="E8" s="12">
        <v>25</v>
      </c>
      <c r="F8" s="10">
        <v>70</v>
      </c>
      <c r="G8" s="12">
        <f t="shared" si="0"/>
        <v>1750</v>
      </c>
    </row>
    <row r="9" spans="2:7" ht="20.100000000000001" customHeight="1" x14ac:dyDescent="0.25">
      <c r="B9" s="10" t="s">
        <v>66</v>
      </c>
      <c r="C9" s="21">
        <v>44440</v>
      </c>
      <c r="D9" s="21">
        <v>44501</v>
      </c>
      <c r="E9" s="12">
        <v>10</v>
      </c>
      <c r="F9" s="10">
        <v>120</v>
      </c>
      <c r="G9" s="12">
        <f t="shared" si="0"/>
        <v>1200</v>
      </c>
    </row>
    <row r="10" spans="2:7" ht="20.100000000000001" customHeight="1" x14ac:dyDescent="0.25">
      <c r="B10" s="10" t="s">
        <v>67</v>
      </c>
      <c r="C10" s="21">
        <v>44348</v>
      </c>
      <c r="D10" s="21">
        <v>44531</v>
      </c>
      <c r="E10" s="12">
        <v>25</v>
      </c>
      <c r="F10" s="10">
        <v>200</v>
      </c>
      <c r="G10" s="12">
        <f t="shared" si="0"/>
        <v>5000</v>
      </c>
    </row>
    <row r="11" spans="2:7" ht="20.100000000000001" customHeight="1" x14ac:dyDescent="0.25">
      <c r="B11" s="15"/>
      <c r="C11" s="15"/>
      <c r="D11" s="15"/>
      <c r="E11" s="15"/>
      <c r="F11" s="15"/>
      <c r="G11" s="15"/>
    </row>
    <row r="12" spans="2:7" ht="20.100000000000001" customHeight="1" x14ac:dyDescent="0.25">
      <c r="B12" s="20" t="s">
        <v>68</v>
      </c>
      <c r="C12" s="21">
        <v>44531</v>
      </c>
      <c r="D12" s="15"/>
      <c r="E12" s="15"/>
      <c r="F12" s="15"/>
      <c r="G12" s="15"/>
    </row>
    <row r="13" spans="2:7" ht="20.100000000000001" customHeight="1" x14ac:dyDescent="0.25">
      <c r="B13" s="20" t="s">
        <v>61</v>
      </c>
      <c r="C13" s="30">
        <f>SUMIF(D5:D10,"="&amp;C12,G5:G10)</f>
        <v>7250</v>
      </c>
      <c r="D13" s="15"/>
      <c r="E13" s="15"/>
      <c r="F13" s="15"/>
      <c r="G13" s="15"/>
    </row>
  </sheetData>
  <mergeCells count="1">
    <mergeCell ref="B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6351-AF6E-492D-9FB7-CB5B977D067B}">
  <dimension ref="B2:I16"/>
  <sheetViews>
    <sheetView showGridLines="0" workbookViewId="0">
      <selection activeCell="I5" sqref="I5:I6"/>
    </sheetView>
  </sheetViews>
  <sheetFormatPr defaultRowHeight="20.100000000000001" customHeight="1" x14ac:dyDescent="0.25"/>
  <cols>
    <col min="1" max="1" width="3.5703125" customWidth="1"/>
    <col min="2" max="2" width="15" customWidth="1"/>
    <col min="3" max="4" width="14" customWidth="1"/>
    <col min="5" max="5" width="12.5703125" customWidth="1"/>
    <col min="6" max="6" width="13" customWidth="1"/>
    <col min="7" max="7" width="1.140625" customWidth="1"/>
    <col min="8" max="8" width="13.140625" customWidth="1"/>
    <col min="9" max="9" width="11.7109375" customWidth="1"/>
  </cols>
  <sheetData>
    <row r="2" spans="2:9" ht="20.100000000000001" customHeight="1" thickBot="1" x14ac:dyDescent="0.3">
      <c r="B2" s="14" t="s">
        <v>78</v>
      </c>
      <c r="C2" s="14"/>
      <c r="D2" s="14"/>
      <c r="E2" s="14"/>
      <c r="F2" s="14"/>
      <c r="G2" s="14"/>
      <c r="H2" s="14"/>
      <c r="I2" s="14"/>
    </row>
    <row r="3" spans="2:9" ht="20.100000000000001" customHeight="1" thickTop="1" x14ac:dyDescent="0.25"/>
    <row r="4" spans="2:9" ht="20.100000000000001" customHeight="1" x14ac:dyDescent="0.25">
      <c r="B4" s="9" t="s">
        <v>2</v>
      </c>
      <c r="C4" s="9" t="s">
        <v>3</v>
      </c>
      <c r="D4" s="9"/>
      <c r="E4" s="9" t="s">
        <v>32</v>
      </c>
      <c r="F4" s="9" t="s">
        <v>4</v>
      </c>
      <c r="H4" s="9" t="s">
        <v>75</v>
      </c>
      <c r="I4" s="9" t="s">
        <v>76</v>
      </c>
    </row>
    <row r="5" spans="2:9" ht="20.100000000000001" customHeight="1" x14ac:dyDescent="0.25">
      <c r="B5" s="10" t="s">
        <v>5</v>
      </c>
      <c r="C5" s="10" t="s">
        <v>6</v>
      </c>
      <c r="D5" s="10" t="s">
        <v>70</v>
      </c>
      <c r="E5" s="11">
        <v>44323</v>
      </c>
      <c r="F5" s="12">
        <v>2500</v>
      </c>
      <c r="H5" s="23" t="s">
        <v>77</v>
      </c>
      <c r="I5" s="33">
        <f>SUMIFS(F5:F16,B5:B16,"Apples",D5:D16,"Branch 1")</f>
        <v>7700</v>
      </c>
    </row>
    <row r="6" spans="2:9" ht="20.100000000000001" customHeight="1" x14ac:dyDescent="0.25">
      <c r="B6" s="10" t="s">
        <v>7</v>
      </c>
      <c r="C6" s="10" t="s">
        <v>8</v>
      </c>
      <c r="D6" s="10" t="s">
        <v>71</v>
      </c>
      <c r="E6" s="11">
        <v>44229</v>
      </c>
      <c r="F6" s="12">
        <v>150</v>
      </c>
      <c r="H6" s="23"/>
      <c r="I6" s="33"/>
    </row>
    <row r="7" spans="2:9" ht="20.100000000000001" customHeight="1" x14ac:dyDescent="0.25">
      <c r="B7" s="10" t="s">
        <v>33</v>
      </c>
      <c r="C7" s="10" t="s">
        <v>8</v>
      </c>
      <c r="D7" s="10" t="s">
        <v>72</v>
      </c>
      <c r="E7" s="11">
        <v>44258</v>
      </c>
      <c r="F7" s="12">
        <v>3000</v>
      </c>
    </row>
    <row r="8" spans="2:9" ht="20.100000000000001" customHeight="1" x14ac:dyDescent="0.25">
      <c r="B8" s="10" t="s">
        <v>5</v>
      </c>
      <c r="C8" s="10" t="s">
        <v>6</v>
      </c>
      <c r="D8" s="10" t="s">
        <v>70</v>
      </c>
      <c r="E8" s="11">
        <v>44351</v>
      </c>
      <c r="F8" s="12">
        <v>4000</v>
      </c>
    </row>
    <row r="9" spans="2:9" ht="20.100000000000001" customHeight="1" x14ac:dyDescent="0.25">
      <c r="B9" s="10" t="s">
        <v>11</v>
      </c>
      <c r="C9" s="10" t="s">
        <v>6</v>
      </c>
      <c r="D9" s="10" t="s">
        <v>73</v>
      </c>
      <c r="E9" s="11">
        <v>44382</v>
      </c>
      <c r="F9" s="12">
        <v>2700</v>
      </c>
    </row>
    <row r="10" spans="2:9" ht="20.100000000000001" customHeight="1" x14ac:dyDescent="0.25">
      <c r="B10" s="10" t="s">
        <v>5</v>
      </c>
      <c r="C10" s="10" t="s">
        <v>13</v>
      </c>
      <c r="D10" s="10" t="s">
        <v>72</v>
      </c>
      <c r="E10" s="11">
        <v>44202</v>
      </c>
      <c r="F10" s="12">
        <v>600</v>
      </c>
    </row>
    <row r="11" spans="2:9" ht="20.100000000000001" customHeight="1" x14ac:dyDescent="0.25">
      <c r="B11" s="10" t="s">
        <v>14</v>
      </c>
      <c r="C11" s="10" t="s">
        <v>13</v>
      </c>
      <c r="D11" s="10" t="s">
        <v>74</v>
      </c>
      <c r="E11" s="11">
        <v>44234</v>
      </c>
      <c r="F11" s="12">
        <v>5000</v>
      </c>
    </row>
    <row r="12" spans="2:9" ht="20.100000000000001" customHeight="1" x14ac:dyDescent="0.25">
      <c r="B12" s="10" t="s">
        <v>5</v>
      </c>
      <c r="C12" s="10" t="s">
        <v>13</v>
      </c>
      <c r="D12" s="10" t="s">
        <v>71</v>
      </c>
      <c r="E12" s="11">
        <v>44324</v>
      </c>
      <c r="F12" s="12">
        <v>3500</v>
      </c>
    </row>
    <row r="13" spans="2:9" ht="20.100000000000001" customHeight="1" x14ac:dyDescent="0.25">
      <c r="B13" s="10" t="s">
        <v>16</v>
      </c>
      <c r="C13" s="10" t="s">
        <v>6</v>
      </c>
      <c r="D13" s="10" t="s">
        <v>72</v>
      </c>
      <c r="E13" s="11">
        <v>44325</v>
      </c>
      <c r="F13" s="12">
        <v>2600</v>
      </c>
    </row>
    <row r="14" spans="2:9" ht="20.100000000000001" customHeight="1" x14ac:dyDescent="0.25">
      <c r="B14" s="10" t="s">
        <v>37</v>
      </c>
      <c r="C14" s="10" t="s">
        <v>6</v>
      </c>
      <c r="D14" s="10" t="s">
        <v>71</v>
      </c>
      <c r="E14" s="11">
        <v>44296</v>
      </c>
      <c r="F14" s="12">
        <v>700</v>
      </c>
    </row>
    <row r="15" spans="2:9" ht="20.100000000000001" customHeight="1" x14ac:dyDescent="0.25">
      <c r="B15" s="10" t="s">
        <v>5</v>
      </c>
      <c r="C15" s="10" t="s">
        <v>8</v>
      </c>
      <c r="D15" s="10" t="s">
        <v>70</v>
      </c>
      <c r="E15" s="11">
        <v>44371</v>
      </c>
      <c r="F15" s="12">
        <v>1200</v>
      </c>
    </row>
    <row r="16" spans="2:9" ht="20.100000000000001" customHeight="1" x14ac:dyDescent="0.25">
      <c r="B16" s="10" t="s">
        <v>37</v>
      </c>
      <c r="C16" s="10" t="s">
        <v>6</v>
      </c>
      <c r="D16" s="10" t="s">
        <v>72</v>
      </c>
      <c r="E16" s="11">
        <v>44359</v>
      </c>
      <c r="F16" s="12">
        <v>2200</v>
      </c>
    </row>
  </sheetData>
  <mergeCells count="3">
    <mergeCell ref="H5:H6"/>
    <mergeCell ref="I5:I6"/>
    <mergeCell ref="B2:I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Quickview</vt:lpstr>
      <vt:lpstr>Numeric Criteria</vt:lpstr>
      <vt:lpstr>Text Criteria</vt:lpstr>
      <vt:lpstr>Wildcard Characters</vt:lpstr>
      <vt:lpstr>Date Criteria</vt:lpstr>
      <vt:lpstr>OR Criteria</vt:lpstr>
      <vt:lpstr>Array Argument</vt:lpstr>
      <vt:lpstr>Date Range Month &amp; Year</vt:lpstr>
      <vt:lpstr>SUMIF Vs 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Md Zahangir Hossain</cp:lastModifiedBy>
  <dcterms:created xsi:type="dcterms:W3CDTF">2021-08-10T04:48:16Z</dcterms:created>
  <dcterms:modified xsi:type="dcterms:W3CDTF">2022-11-15T10:37:44Z</dcterms:modified>
</cp:coreProperties>
</file>