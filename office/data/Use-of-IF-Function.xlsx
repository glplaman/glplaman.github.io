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EKO\Articles\616\"/>
    </mc:Choice>
  </mc:AlternateContent>
  <xr:revisionPtr revIDLastSave="0" documentId="8_{3184FBEF-73DE-47B7-B0FF-F471839D72E6}" xr6:coauthVersionLast="47" xr6:coauthVersionMax="47" xr10:uidLastSave="{00000000-0000-0000-0000-000000000000}"/>
  <bookViews>
    <workbookView xWindow="-120" yWindow="-120" windowWidth="38640" windowHeight="21240" activeTab="8" xr2:uid="{FE1344C0-7C47-43BC-9ECC-0DCADC407CAE}"/>
  </bookViews>
  <sheets>
    <sheet name="Overview" sheetId="1" r:id="rId1"/>
    <sheet name="IF" sheetId="2" r:id="rId2"/>
    <sheet name="IF with Calculation" sheetId="3" r:id="rId3"/>
    <sheet name="Nested IF" sheetId="4" r:id="rId4"/>
    <sheet name="IF-AND,OR,NOT" sheetId="5" r:id="rId5"/>
    <sheet name="IF-Logical Functions" sheetId="6" r:id="rId6"/>
    <sheet name="IF with ISERROR" sheetId="7" r:id="rId7"/>
    <sheet name="IF with Concatenate-Ampersand" sheetId="8" r:id="rId8"/>
    <sheet name="IF with DAT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9" l="1"/>
  <c r="N8" i="9"/>
  <c r="N7" i="9"/>
  <c r="N6" i="9"/>
  <c r="N5" i="9"/>
  <c r="N5" i="7"/>
  <c r="O5" i="7"/>
  <c r="N6" i="7"/>
  <c r="N7" i="7"/>
  <c r="N8" i="7"/>
  <c r="N9" i="7"/>
  <c r="N10" i="7"/>
  <c r="M10" i="8"/>
  <c r="M9" i="8"/>
  <c r="M8" i="8"/>
  <c r="M7" i="8"/>
  <c r="M6" i="8"/>
  <c r="M5" i="8"/>
  <c r="N11" i="7"/>
  <c r="L5" i="6"/>
  <c r="U5" i="5"/>
  <c r="O12" i="4"/>
  <c r="O11" i="4"/>
  <c r="O10" i="4"/>
  <c r="O9" i="4"/>
  <c r="O8" i="4"/>
  <c r="O7" i="4"/>
  <c r="O6" i="4"/>
  <c r="O5" i="4"/>
  <c r="N5" i="3"/>
  <c r="N5" i="2"/>
  <c r="E5" i="8"/>
  <c r="E6" i="9"/>
  <c r="E7" i="9"/>
  <c r="E8" i="9"/>
  <c r="E9" i="9"/>
  <c r="E5" i="9"/>
  <c r="E6" i="8"/>
  <c r="E7" i="8"/>
  <c r="E8" i="8"/>
  <c r="E9" i="8"/>
  <c r="E10" i="8"/>
  <c r="D6" i="7"/>
  <c r="D7" i="7"/>
  <c r="D8" i="7"/>
  <c r="D9" i="7"/>
  <c r="D10" i="7"/>
  <c r="D11" i="7"/>
  <c r="E6" i="7"/>
  <c r="E7" i="7"/>
  <c r="E8" i="7"/>
  <c r="E9" i="7"/>
  <c r="E10" i="7"/>
  <c r="E11" i="7"/>
  <c r="E5" i="7"/>
  <c r="D5" i="7"/>
  <c r="C5" i="6"/>
  <c r="C6" i="6"/>
  <c r="C7" i="6"/>
  <c r="C8" i="6"/>
  <c r="C9" i="6"/>
  <c r="C10" i="6"/>
  <c r="C11" i="6"/>
  <c r="C12" i="6"/>
  <c r="C13" i="6"/>
  <c r="C14" i="6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D6" i="4" l="1"/>
  <c r="D7" i="4"/>
  <c r="D8" i="4"/>
  <c r="D9" i="4"/>
  <c r="D10" i="4"/>
  <c r="D11" i="4"/>
  <c r="D12" i="4"/>
  <c r="D5" i="4"/>
  <c r="E6" i="3"/>
  <c r="E7" i="3"/>
  <c r="E8" i="3"/>
  <c r="E9" i="3"/>
  <c r="E10" i="3"/>
  <c r="E11" i="3"/>
  <c r="E12" i="3"/>
  <c r="E5" i="3"/>
  <c r="E5" i="2"/>
  <c r="E6" i="2"/>
  <c r="E7" i="2"/>
  <c r="E8" i="2"/>
  <c r="E9" i="2"/>
  <c r="E10" i="2"/>
  <c r="E11" i="2"/>
  <c r="E12" i="2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<sst xmlns="http://schemas.openxmlformats.org/spreadsheetml/2006/main" count="261" uniqueCount="102">
  <si>
    <t>IF Function Overview</t>
  </si>
  <si>
    <t>Product ID</t>
  </si>
  <si>
    <t>GMN112</t>
  </si>
  <si>
    <t>GMN113</t>
  </si>
  <si>
    <t>GMN115</t>
  </si>
  <si>
    <t>GMN125</t>
  </si>
  <si>
    <t>GMN144</t>
  </si>
  <si>
    <t>GMD550</t>
  </si>
  <si>
    <t>GMD572</t>
  </si>
  <si>
    <t>GMD584</t>
  </si>
  <si>
    <t>Sales Target</t>
  </si>
  <si>
    <t>Sales Achieved</t>
  </si>
  <si>
    <t>Status</t>
  </si>
  <si>
    <t xml:space="preserve">   logical_test: D5&gt;=C5</t>
  </si>
  <si>
    <t xml:space="preserve">   value_if_TRUE: "Achieved"</t>
  </si>
  <si>
    <t xml:space="preserve">   value_if_FALSE: "Not Achieved"</t>
  </si>
  <si>
    <t>Sales Achieved &lt; Sales Target : Not Achieved</t>
  </si>
  <si>
    <t>Sales Achieved =&gt; Sales Target : Achieved</t>
  </si>
  <si>
    <t xml:space="preserve">  &gt;&gt;&gt;  =IF(D5&gt;=C5,"Achieved",
                  "Not Achieved")</t>
  </si>
  <si>
    <t>Sales Person</t>
  </si>
  <si>
    <t>Mike</t>
  </si>
  <si>
    <t>Teresa</t>
  </si>
  <si>
    <t>Nicolas</t>
  </si>
  <si>
    <t>Abigaile</t>
  </si>
  <si>
    <t>Martin</t>
  </si>
  <si>
    <t>Cris</t>
  </si>
  <si>
    <t>Sarah</t>
  </si>
  <si>
    <t>Dalton</t>
  </si>
  <si>
    <t>Sales Target (Units)</t>
  </si>
  <si>
    <t>Salary of Each Sales Person</t>
  </si>
  <si>
    <t>Bonus</t>
  </si>
  <si>
    <t>IF Function with Calculations</t>
  </si>
  <si>
    <t>Subject</t>
  </si>
  <si>
    <t>Marks</t>
  </si>
  <si>
    <t>Grade</t>
  </si>
  <si>
    <t>Grade System</t>
  </si>
  <si>
    <t>A = Above 80</t>
  </si>
  <si>
    <t>B = 70-79</t>
  </si>
  <si>
    <t>C = 60-69</t>
  </si>
  <si>
    <t>D = 50-59</t>
  </si>
  <si>
    <t>F = Below 50</t>
  </si>
  <si>
    <t>Physics</t>
  </si>
  <si>
    <t>Maths</t>
  </si>
  <si>
    <t>Chemistry</t>
  </si>
  <si>
    <t>Biology</t>
  </si>
  <si>
    <t>English</t>
  </si>
  <si>
    <t>Economics</t>
  </si>
  <si>
    <t>Geography</t>
  </si>
  <si>
    <t>Religion</t>
  </si>
  <si>
    <t>Use of Nested IF</t>
  </si>
  <si>
    <t>IF with NOT Function</t>
  </si>
  <si>
    <t>Serial</t>
  </si>
  <si>
    <t>Donor</t>
  </si>
  <si>
    <t>Donation</t>
  </si>
  <si>
    <t>Medium</t>
  </si>
  <si>
    <t>Date</t>
  </si>
  <si>
    <t>Result</t>
  </si>
  <si>
    <t>Adam</t>
  </si>
  <si>
    <t>Online</t>
  </si>
  <si>
    <t>Cash</t>
  </si>
  <si>
    <t>Anna</t>
  </si>
  <si>
    <t>Cheque</t>
  </si>
  <si>
    <t>John</t>
  </si>
  <si>
    <t>Shelly</t>
  </si>
  <si>
    <t>Simons</t>
  </si>
  <si>
    <t>Clarke</t>
  </si>
  <si>
    <t>Criteria to Exclude</t>
  </si>
  <si>
    <t>Ricky</t>
  </si>
  <si>
    <t>Megan</t>
  </si>
  <si>
    <t>Michael</t>
  </si>
  <si>
    <t>Richards</t>
  </si>
  <si>
    <t>Andrew</t>
  </si>
  <si>
    <t>Josephine</t>
  </si>
  <si>
    <t>Amanda</t>
  </si>
  <si>
    <t>Brett</t>
  </si>
  <si>
    <t>Data</t>
  </si>
  <si>
    <t>Simon</t>
  </si>
  <si>
    <t>* / = ]</t>
  </si>
  <si>
    <t>Type</t>
  </si>
  <si>
    <t>IF with Logical Functions</t>
  </si>
  <si>
    <t>Dvidend</t>
  </si>
  <si>
    <t>Divisor</t>
  </si>
  <si>
    <t>Quotient</t>
  </si>
  <si>
    <t>A</t>
  </si>
  <si>
    <t>With Error Checking</t>
  </si>
  <si>
    <t>Error Checking with IF</t>
  </si>
  <si>
    <t>Salesman</t>
  </si>
  <si>
    <t>Statement</t>
  </si>
  <si>
    <t>Aigaile</t>
  </si>
  <si>
    <t>Damien</t>
  </si>
  <si>
    <t>Lucy</t>
  </si>
  <si>
    <t>IF with CONCATENATE and Ampersand(&amp;)</t>
  </si>
  <si>
    <t>Date of Payment</t>
  </si>
  <si>
    <t>Student Name</t>
  </si>
  <si>
    <t>Deadline</t>
  </si>
  <si>
    <t>Alex</t>
  </si>
  <si>
    <t>Morgan</t>
  </si>
  <si>
    <t>Sandra</t>
  </si>
  <si>
    <t>Samson</t>
  </si>
  <si>
    <t>Tomas</t>
  </si>
  <si>
    <t>IF with DATE Function</t>
  </si>
  <si>
    <t>&gt;&gt;&gt; Do Yourself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</si>
</sst>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\ \ 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2" xfId="0" applyBorder="1"/>
    <xf numFmtId="44" fontId="0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9" xfId="1" applyFont="1" applyBorder="1"/>
    <xf numFmtId="0" fontId="0" fillId="0" borderId="10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0" borderId="0" xfId="3" quotePrefix="1" applyFont="1"/>
    <xf numFmtId="0" fontId="0" fillId="0" borderId="2" xfId="1" applyNumberFormat="1" applyFont="1" applyBorder="1"/>
    <xf numFmtId="0" fontId="0" fillId="0" borderId="9" xfId="1" applyNumberFormat="1" applyFont="1" applyBorder="1"/>
    <xf numFmtId="44" fontId="0" fillId="0" borderId="13" xfId="1" applyFont="1" applyBorder="1"/>
    <xf numFmtId="0" fontId="0" fillId="0" borderId="13" xfId="1" applyNumberFormat="1" applyFont="1" applyBorder="1"/>
    <xf numFmtId="0" fontId="5" fillId="3" borderId="20" xfId="0" applyFont="1" applyFill="1" applyBorder="1" applyAlignment="1">
      <alignment horizontal="center" vertical="center"/>
    </xf>
    <xf numFmtId="0" fontId="0" fillId="0" borderId="4" xfId="1" applyNumberFormat="1" applyFont="1" applyBorder="1"/>
    <xf numFmtId="0" fontId="0" fillId="0" borderId="5" xfId="1" applyNumberFormat="1" applyFont="1" applyBorder="1"/>
    <xf numFmtId="0" fontId="0" fillId="0" borderId="21" xfId="1" applyNumberFormat="1" applyFont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44" fontId="0" fillId="0" borderId="4" xfId="1" applyFont="1" applyBorder="1"/>
    <xf numFmtId="14" fontId="0" fillId="0" borderId="4" xfId="0" applyNumberFormat="1" applyBorder="1"/>
    <xf numFmtId="14" fontId="0" fillId="0" borderId="2" xfId="0" applyNumberFormat="1" applyBorder="1"/>
    <xf numFmtId="0" fontId="0" fillId="0" borderId="9" xfId="0" applyBorder="1"/>
    <xf numFmtId="14" fontId="0" fillId="0" borderId="9" xfId="0" applyNumberFormat="1" applyBorder="1"/>
    <xf numFmtId="0" fontId="2" fillId="2" borderId="1" xfId="2" applyFill="1" applyAlignment="1">
      <alignment horizontal="center"/>
    </xf>
    <xf numFmtId="0" fontId="6" fillId="0" borderId="0" xfId="3" quotePrefix="1" applyFont="1" applyAlignment="1">
      <alignment horizontal="left" vertical="top"/>
    </xf>
    <xf numFmtId="0" fontId="6" fillId="0" borderId="0" xfId="3" applyFont="1" applyAlignment="1">
      <alignment horizontal="left" vertical="top"/>
    </xf>
    <xf numFmtId="0" fontId="6" fillId="0" borderId="17" xfId="3" quotePrefix="1" applyFont="1" applyBorder="1" applyAlignment="1">
      <alignment vertical="center" wrapText="1"/>
    </xf>
    <xf numFmtId="0" fontId="6" fillId="0" borderId="17" xfId="3" quotePrefix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44" fontId="0" fillId="0" borderId="27" xfId="1" applyFont="1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2" fontId="0" fillId="0" borderId="2" xfId="0" applyNumberFormat="1" applyBorder="1"/>
    <xf numFmtId="2" fontId="0" fillId="0" borderId="7" xfId="0" applyNumberFormat="1" applyBorder="1"/>
    <xf numFmtId="0" fontId="0" fillId="0" borderId="12" xfId="0" applyBorder="1"/>
    <xf numFmtId="0" fontId="4" fillId="3" borderId="14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4" fontId="0" fillId="0" borderId="12" xfId="0" applyNumberFormat="1" applyBorder="1"/>
    <xf numFmtId="1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6" fillId="0" borderId="1" xfId="3" applyFont="1" applyFill="1" applyBorder="1" applyAlignment="1">
      <alignment horizontal="center"/>
    </xf>
    <xf numFmtId="44" fontId="0" fillId="0" borderId="5" xfId="1" applyFont="1" applyBorder="1"/>
    <xf numFmtId="44" fontId="0" fillId="0" borderId="21" xfId="1" applyFont="1" applyBorder="1"/>
  </cellXfs>
  <cellStyles count="4">
    <cellStyle name="Currency" xfId="1" builtinId="4"/>
    <cellStyle name="Explanatory Text" xfId="3" builtinId="53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52DF-3154-44F9-9509-32A19ABD3DFB}">
  <dimension ref="B2:F15"/>
  <sheetViews>
    <sheetView showGridLines="0" workbookViewId="0">
      <selection activeCell="F42" sqref="F42"/>
    </sheetView>
  </sheetViews>
  <sheetFormatPr defaultRowHeight="15" x14ac:dyDescent="0.25"/>
  <cols>
    <col min="1" max="1" width="3.140625" customWidth="1"/>
    <col min="2" max="2" width="13" customWidth="1"/>
    <col min="3" max="3" width="14.5703125" customWidth="1"/>
    <col min="4" max="4" width="17.28515625" customWidth="1"/>
    <col min="5" max="5" width="16.140625" customWidth="1"/>
    <col min="6" max="6" width="42.7109375" bestFit="1" customWidth="1"/>
    <col min="7" max="7" width="10.28515625" customWidth="1"/>
  </cols>
  <sheetData>
    <row r="2" spans="2:6" ht="18" thickBot="1" x14ac:dyDescent="0.35">
      <c r="B2" s="37" t="s">
        <v>0</v>
      </c>
      <c r="C2" s="37"/>
      <c r="D2" s="37"/>
      <c r="E2" s="37"/>
    </row>
    <row r="3" spans="2:6" ht="16.5" thickTop="1" thickBot="1" x14ac:dyDescent="0.3"/>
    <row r="4" spans="2:6" ht="16.5" thickBot="1" x14ac:dyDescent="0.3">
      <c r="B4" s="14" t="s">
        <v>1</v>
      </c>
      <c r="C4" s="15" t="s">
        <v>10</v>
      </c>
      <c r="D4" s="15" t="s">
        <v>11</v>
      </c>
      <c r="E4" s="16" t="s">
        <v>12</v>
      </c>
    </row>
    <row r="5" spans="2:6" ht="15.75" customHeight="1" x14ac:dyDescent="0.25">
      <c r="B5" s="11" t="s">
        <v>2</v>
      </c>
      <c r="C5" s="12">
        <v>4500</v>
      </c>
      <c r="D5" s="12">
        <v>4800</v>
      </c>
      <c r="E5" s="13" t="str">
        <f>IF(D5&gt;=C5,"Achieved","Not Achieved")</f>
        <v>Achieved</v>
      </c>
      <c r="F5" s="40" t="s">
        <v>18</v>
      </c>
    </row>
    <row r="6" spans="2:6" ht="15.75" customHeight="1" x14ac:dyDescent="0.25">
      <c r="B6" s="6" t="s">
        <v>3</v>
      </c>
      <c r="C6" s="2">
        <v>7800</v>
      </c>
      <c r="D6" s="2">
        <v>7500</v>
      </c>
      <c r="E6" s="7" t="str">
        <f t="shared" ref="E6:E12" si="0">IF(D6&gt;=C6,"Achieved","Not Achieved")</f>
        <v>Not Achieved</v>
      </c>
      <c r="F6" s="41"/>
    </row>
    <row r="7" spans="2:6" x14ac:dyDescent="0.25">
      <c r="B7" s="6" t="s">
        <v>4</v>
      </c>
      <c r="C7" s="2">
        <v>12000</v>
      </c>
      <c r="D7" s="2">
        <v>12000</v>
      </c>
      <c r="E7" s="7" t="str">
        <f t="shared" si="0"/>
        <v>Achieved</v>
      </c>
    </row>
    <row r="8" spans="2:6" ht="15.75" x14ac:dyDescent="0.25">
      <c r="B8" s="6" t="s">
        <v>5</v>
      </c>
      <c r="C8" s="2">
        <v>6800</v>
      </c>
      <c r="D8" s="2">
        <v>4500</v>
      </c>
      <c r="E8" s="7" t="str">
        <f t="shared" si="0"/>
        <v>Not Achieved</v>
      </c>
      <c r="F8" s="17" t="s">
        <v>13</v>
      </c>
    </row>
    <row r="9" spans="2:6" ht="15.75" x14ac:dyDescent="0.25">
      <c r="B9" s="6" t="s">
        <v>6</v>
      </c>
      <c r="C9" s="2">
        <v>8900</v>
      </c>
      <c r="D9" s="2">
        <v>8700</v>
      </c>
      <c r="E9" s="7" t="str">
        <f t="shared" si="0"/>
        <v>Not Achieved</v>
      </c>
      <c r="F9" s="17" t="s">
        <v>14</v>
      </c>
    </row>
    <row r="10" spans="2:6" ht="15.75" x14ac:dyDescent="0.25">
      <c r="B10" s="6" t="s">
        <v>7</v>
      </c>
      <c r="C10" s="2">
        <v>4600</v>
      </c>
      <c r="D10" s="2">
        <v>6700</v>
      </c>
      <c r="E10" s="7" t="str">
        <f t="shared" si="0"/>
        <v>Achieved</v>
      </c>
      <c r="F10" s="17" t="s">
        <v>15</v>
      </c>
    </row>
    <row r="11" spans="2:6" x14ac:dyDescent="0.25">
      <c r="B11" s="6" t="s">
        <v>8</v>
      </c>
      <c r="C11" s="2">
        <v>7000</v>
      </c>
      <c r="D11" s="2">
        <v>7900</v>
      </c>
      <c r="E11" s="7" t="str">
        <f t="shared" si="0"/>
        <v>Achieved</v>
      </c>
    </row>
    <row r="12" spans="2:6" ht="15.75" thickBot="1" x14ac:dyDescent="0.3">
      <c r="B12" s="8" t="s">
        <v>9</v>
      </c>
      <c r="C12" s="9">
        <v>8500</v>
      </c>
      <c r="D12" s="9">
        <v>9000</v>
      </c>
      <c r="E12" s="10" t="str">
        <f t="shared" si="0"/>
        <v>Achieved</v>
      </c>
    </row>
    <row r="14" spans="2:6" ht="15.75" x14ac:dyDescent="0.25">
      <c r="C14" s="38" t="s">
        <v>17</v>
      </c>
      <c r="D14" s="39"/>
      <c r="E14" s="39"/>
    </row>
    <row r="15" spans="2:6" ht="15.75" x14ac:dyDescent="0.25">
      <c r="C15" s="38" t="s">
        <v>16</v>
      </c>
      <c r="D15" s="39"/>
      <c r="E15" s="39"/>
    </row>
  </sheetData>
  <mergeCells count="4">
    <mergeCell ref="B2:E2"/>
    <mergeCell ref="C15:E15"/>
    <mergeCell ref="C14:E14"/>
    <mergeCell ref="F5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5EE4-B5A8-4228-8BEE-14F2222884D6}">
  <dimension ref="B2:N12"/>
  <sheetViews>
    <sheetView showGridLines="0" workbookViewId="0">
      <selection activeCell="K2" sqref="K2:N2"/>
    </sheetView>
  </sheetViews>
  <sheetFormatPr defaultRowHeight="15" x14ac:dyDescent="0.25"/>
  <cols>
    <col min="1" max="1" width="4" customWidth="1"/>
    <col min="2" max="2" width="12.7109375" customWidth="1"/>
    <col min="3" max="3" width="14.28515625" customWidth="1"/>
    <col min="4" max="4" width="17.28515625" customWidth="1"/>
    <col min="5" max="5" width="15.7109375" customWidth="1"/>
    <col min="6" max="6" width="8.28515625" customWidth="1"/>
    <col min="11" max="11" width="11.42578125" bestFit="1" customWidth="1"/>
    <col min="12" max="12" width="12.7109375" bestFit="1" customWidth="1"/>
    <col min="13" max="13" width="15.5703125" bestFit="1" customWidth="1"/>
    <col min="14" max="14" width="13.140625" bestFit="1" customWidth="1"/>
  </cols>
  <sheetData>
    <row r="2" spans="2:14" ht="18" thickBot="1" x14ac:dyDescent="0.35">
      <c r="B2" s="37" t="s">
        <v>0</v>
      </c>
      <c r="C2" s="37"/>
      <c r="D2" s="37"/>
      <c r="E2" s="37"/>
      <c r="K2" s="63" t="s">
        <v>101</v>
      </c>
      <c r="L2" s="63"/>
      <c r="M2" s="63"/>
      <c r="N2" s="63"/>
    </row>
    <row r="3" spans="2:14" ht="16.5" thickTop="1" thickBot="1" x14ac:dyDescent="0.3"/>
    <row r="4" spans="2:14" ht="16.5" thickBot="1" x14ac:dyDescent="0.3">
      <c r="B4" s="14" t="s">
        <v>1</v>
      </c>
      <c r="C4" s="15" t="s">
        <v>10</v>
      </c>
      <c r="D4" s="15" t="s">
        <v>11</v>
      </c>
      <c r="E4" s="16" t="s">
        <v>12</v>
      </c>
      <c r="K4" s="14" t="s">
        <v>1</v>
      </c>
      <c r="L4" s="15" t="s">
        <v>10</v>
      </c>
      <c r="M4" s="15" t="s">
        <v>11</v>
      </c>
      <c r="N4" s="16" t="s">
        <v>12</v>
      </c>
    </row>
    <row r="5" spans="2:14" x14ac:dyDescent="0.25">
      <c r="B5" s="11" t="s">
        <v>2</v>
      </c>
      <c r="C5" s="12">
        <v>4500</v>
      </c>
      <c r="D5" s="12">
        <v>4800</v>
      </c>
      <c r="E5" s="13" t="str">
        <f>IF(D5&gt;=C5,"Achieved","Not Achieved")</f>
        <v>Achieved</v>
      </c>
      <c r="K5" s="11" t="s">
        <v>2</v>
      </c>
      <c r="L5" s="12">
        <v>4500</v>
      </c>
      <c r="M5" s="12">
        <v>4800</v>
      </c>
      <c r="N5" s="13" t="str">
        <f>IF(M5&gt;=L5,"Achieved","Not Achieved")</f>
        <v>Achieved</v>
      </c>
    </row>
    <row r="6" spans="2:14" x14ac:dyDescent="0.25">
      <c r="B6" s="6" t="s">
        <v>3</v>
      </c>
      <c r="C6" s="2">
        <v>7800</v>
      </c>
      <c r="D6" s="2">
        <v>7500</v>
      </c>
      <c r="E6" s="7" t="str">
        <f t="shared" ref="E6:E12" si="0">IF(D6&gt;=C6,"Achieved","Not Achieved")</f>
        <v>Not Achieved</v>
      </c>
      <c r="K6" s="6" t="s">
        <v>3</v>
      </c>
      <c r="L6" s="2">
        <v>7800</v>
      </c>
      <c r="M6" s="2">
        <v>7500</v>
      </c>
      <c r="N6" s="7"/>
    </row>
    <row r="7" spans="2:14" x14ac:dyDescent="0.25">
      <c r="B7" s="6" t="s">
        <v>4</v>
      </c>
      <c r="C7" s="2">
        <v>12000</v>
      </c>
      <c r="D7" s="2">
        <v>12000</v>
      </c>
      <c r="E7" s="7" t="str">
        <f t="shared" si="0"/>
        <v>Achieved</v>
      </c>
      <c r="K7" s="6" t="s">
        <v>4</v>
      </c>
      <c r="L7" s="2">
        <v>12000</v>
      </c>
      <c r="M7" s="2">
        <v>12000</v>
      </c>
      <c r="N7" s="7"/>
    </row>
    <row r="8" spans="2:14" x14ac:dyDescent="0.25">
      <c r="B8" s="6" t="s">
        <v>5</v>
      </c>
      <c r="C8" s="2">
        <v>6800</v>
      </c>
      <c r="D8" s="2">
        <v>4500</v>
      </c>
      <c r="E8" s="7" t="str">
        <f t="shared" si="0"/>
        <v>Not Achieved</v>
      </c>
      <c r="K8" s="6" t="s">
        <v>5</v>
      </c>
      <c r="L8" s="2">
        <v>6800</v>
      </c>
      <c r="M8" s="2">
        <v>4500</v>
      </c>
      <c r="N8" s="7"/>
    </row>
    <row r="9" spans="2:14" x14ac:dyDescent="0.25">
      <c r="B9" s="6" t="s">
        <v>6</v>
      </c>
      <c r="C9" s="2">
        <v>8900</v>
      </c>
      <c r="D9" s="2">
        <v>8700</v>
      </c>
      <c r="E9" s="7" t="str">
        <f t="shared" si="0"/>
        <v>Not Achieved</v>
      </c>
      <c r="K9" s="6" t="s">
        <v>6</v>
      </c>
      <c r="L9" s="2">
        <v>8900</v>
      </c>
      <c r="M9" s="2">
        <v>8700</v>
      </c>
      <c r="N9" s="7"/>
    </row>
    <row r="10" spans="2:14" x14ac:dyDescent="0.25">
      <c r="B10" s="6" t="s">
        <v>7</v>
      </c>
      <c r="C10" s="2">
        <v>4600</v>
      </c>
      <c r="D10" s="2">
        <v>6700</v>
      </c>
      <c r="E10" s="7" t="str">
        <f t="shared" si="0"/>
        <v>Achieved</v>
      </c>
      <c r="K10" s="6" t="s">
        <v>7</v>
      </c>
      <c r="L10" s="2">
        <v>4600</v>
      </c>
      <c r="M10" s="2">
        <v>6700</v>
      </c>
      <c r="N10" s="7"/>
    </row>
    <row r="11" spans="2:14" x14ac:dyDescent="0.25">
      <c r="B11" s="6" t="s">
        <v>8</v>
      </c>
      <c r="C11" s="2">
        <v>7000</v>
      </c>
      <c r="D11" s="2">
        <v>7900</v>
      </c>
      <c r="E11" s="7" t="str">
        <f t="shared" si="0"/>
        <v>Achieved</v>
      </c>
      <c r="K11" s="6" t="s">
        <v>8</v>
      </c>
      <c r="L11" s="2">
        <v>7000</v>
      </c>
      <c r="M11" s="2">
        <v>7900</v>
      </c>
      <c r="N11" s="7"/>
    </row>
    <row r="12" spans="2:14" ht="15.75" thickBot="1" x14ac:dyDescent="0.3">
      <c r="B12" s="8" t="s">
        <v>9</v>
      </c>
      <c r="C12" s="9">
        <v>8500</v>
      </c>
      <c r="D12" s="9">
        <v>9000</v>
      </c>
      <c r="E12" s="10" t="str">
        <f t="shared" si="0"/>
        <v>Achieved</v>
      </c>
      <c r="K12" s="8" t="s">
        <v>9</v>
      </c>
      <c r="L12" s="9">
        <v>8500</v>
      </c>
      <c r="M12" s="9">
        <v>9000</v>
      </c>
      <c r="N12" s="10"/>
    </row>
  </sheetData>
  <mergeCells count="2">
    <mergeCell ref="B2:E2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1D1D-3901-4349-B63B-BA65E5EF8BAC}">
  <dimension ref="B2:N15"/>
  <sheetViews>
    <sheetView showGridLines="0" workbookViewId="0">
      <selection activeCell="K2" sqref="K2:N2"/>
    </sheetView>
  </sheetViews>
  <sheetFormatPr defaultRowHeight="15" x14ac:dyDescent="0.25"/>
  <cols>
    <col min="1" max="1" width="3.28515625" customWidth="1"/>
    <col min="2" max="2" width="13.5703125" customWidth="1"/>
    <col min="3" max="3" width="21.140625" customWidth="1"/>
    <col min="4" max="4" width="17.5703125" customWidth="1"/>
    <col min="5" max="5" width="18.42578125" customWidth="1"/>
    <col min="6" max="6" width="10.7109375" customWidth="1"/>
    <col min="11" max="11" width="13.28515625" bestFit="1" customWidth="1"/>
    <col min="12" max="12" width="20" bestFit="1" customWidth="1"/>
    <col min="13" max="13" width="15.5703125" bestFit="1" customWidth="1"/>
    <col min="14" max="14" width="15.7109375" bestFit="1" customWidth="1"/>
  </cols>
  <sheetData>
    <row r="2" spans="2:14" ht="18" thickBot="1" x14ac:dyDescent="0.35">
      <c r="B2" s="37" t="s">
        <v>31</v>
      </c>
      <c r="C2" s="37"/>
      <c r="D2" s="37"/>
      <c r="E2" s="37"/>
      <c r="K2" s="63" t="s">
        <v>101</v>
      </c>
      <c r="L2" s="63"/>
      <c r="M2" s="63"/>
      <c r="N2" s="63"/>
    </row>
    <row r="3" spans="2:14" ht="16.5" thickTop="1" thickBot="1" x14ac:dyDescent="0.3"/>
    <row r="4" spans="2:14" ht="16.5" thickBot="1" x14ac:dyDescent="0.3">
      <c r="B4" s="14" t="s">
        <v>19</v>
      </c>
      <c r="C4" s="15" t="s">
        <v>28</v>
      </c>
      <c r="D4" s="15" t="s">
        <v>11</v>
      </c>
      <c r="E4" s="16" t="s">
        <v>30</v>
      </c>
      <c r="K4" s="14" t="s">
        <v>19</v>
      </c>
      <c r="L4" s="15" t="s">
        <v>28</v>
      </c>
      <c r="M4" s="15" t="s">
        <v>11</v>
      </c>
      <c r="N4" s="16" t="s">
        <v>30</v>
      </c>
    </row>
    <row r="5" spans="2:14" x14ac:dyDescent="0.25">
      <c r="B5" s="3" t="s">
        <v>20</v>
      </c>
      <c r="C5" s="23">
        <v>50</v>
      </c>
      <c r="D5" s="23">
        <v>55</v>
      </c>
      <c r="E5" s="64">
        <f>IF(D5&gt;=C5,$C$15*(D5-C5)/C5,"Not Applicable")</f>
        <v>50</v>
      </c>
      <c r="K5" s="3" t="s">
        <v>20</v>
      </c>
      <c r="L5" s="23">
        <v>50</v>
      </c>
      <c r="M5" s="23">
        <v>55</v>
      </c>
      <c r="N5" s="64">
        <f>IF(M5&gt;=L5,$C$15*(M5-L5)/L5,"Not Applicable")</f>
        <v>50</v>
      </c>
    </row>
    <row r="6" spans="2:14" x14ac:dyDescent="0.25">
      <c r="B6" s="6" t="s">
        <v>21</v>
      </c>
      <c r="C6" s="18">
        <v>60</v>
      </c>
      <c r="D6" s="18">
        <v>45</v>
      </c>
      <c r="E6" s="20" t="str">
        <f t="shared" ref="E6:E12" si="0">IF(D6&gt;=C6,$C$15*(D6-C6)/C6,"Not Applicable")</f>
        <v>Not Applicable</v>
      </c>
      <c r="K6" s="6" t="s">
        <v>21</v>
      </c>
      <c r="L6" s="18">
        <v>60</v>
      </c>
      <c r="M6" s="18">
        <v>45</v>
      </c>
      <c r="N6" s="20"/>
    </row>
    <row r="7" spans="2:14" x14ac:dyDescent="0.25">
      <c r="B7" s="6" t="s">
        <v>22</v>
      </c>
      <c r="C7" s="18">
        <v>40</v>
      </c>
      <c r="D7" s="18">
        <v>45</v>
      </c>
      <c r="E7" s="20">
        <f t="shared" si="0"/>
        <v>62.5</v>
      </c>
      <c r="K7" s="6" t="s">
        <v>22</v>
      </c>
      <c r="L7" s="18">
        <v>40</v>
      </c>
      <c r="M7" s="18">
        <v>45</v>
      </c>
      <c r="N7" s="20"/>
    </row>
    <row r="8" spans="2:14" x14ac:dyDescent="0.25">
      <c r="B8" s="6" t="s">
        <v>23</v>
      </c>
      <c r="C8" s="18">
        <v>55</v>
      </c>
      <c r="D8" s="18">
        <v>60</v>
      </c>
      <c r="E8" s="20">
        <f t="shared" si="0"/>
        <v>45.454545454545453</v>
      </c>
      <c r="K8" s="6" t="s">
        <v>23</v>
      </c>
      <c r="L8" s="18">
        <v>55</v>
      </c>
      <c r="M8" s="18">
        <v>60</v>
      </c>
      <c r="N8" s="20"/>
    </row>
    <row r="9" spans="2:14" x14ac:dyDescent="0.25">
      <c r="B9" s="6" t="s">
        <v>24</v>
      </c>
      <c r="C9" s="18">
        <v>60</v>
      </c>
      <c r="D9" s="18">
        <v>50</v>
      </c>
      <c r="E9" s="20" t="str">
        <f t="shared" si="0"/>
        <v>Not Applicable</v>
      </c>
      <c r="K9" s="6" t="s">
        <v>24</v>
      </c>
      <c r="L9" s="18">
        <v>60</v>
      </c>
      <c r="M9" s="18">
        <v>50</v>
      </c>
      <c r="N9" s="20"/>
    </row>
    <row r="10" spans="2:14" x14ac:dyDescent="0.25">
      <c r="B10" s="6" t="s">
        <v>25</v>
      </c>
      <c r="C10" s="18">
        <v>50</v>
      </c>
      <c r="D10" s="18">
        <v>50</v>
      </c>
      <c r="E10" s="20">
        <f t="shared" si="0"/>
        <v>0</v>
      </c>
      <c r="K10" s="6" t="s">
        <v>25</v>
      </c>
      <c r="L10" s="18">
        <v>50</v>
      </c>
      <c r="M10" s="18">
        <v>50</v>
      </c>
      <c r="N10" s="20"/>
    </row>
    <row r="11" spans="2:14" x14ac:dyDescent="0.25">
      <c r="B11" s="6" t="s">
        <v>26</v>
      </c>
      <c r="C11" s="18">
        <v>70</v>
      </c>
      <c r="D11" s="18">
        <v>80</v>
      </c>
      <c r="E11" s="20">
        <f t="shared" si="0"/>
        <v>71.428571428571431</v>
      </c>
      <c r="K11" s="6" t="s">
        <v>26</v>
      </c>
      <c r="L11" s="18">
        <v>70</v>
      </c>
      <c r="M11" s="18">
        <v>80</v>
      </c>
      <c r="N11" s="20"/>
    </row>
    <row r="12" spans="2:14" ht="15.75" thickBot="1" x14ac:dyDescent="0.3">
      <c r="B12" s="8" t="s">
        <v>27</v>
      </c>
      <c r="C12" s="19">
        <v>80</v>
      </c>
      <c r="D12" s="19">
        <v>75</v>
      </c>
      <c r="E12" s="65" t="str">
        <f t="shared" si="0"/>
        <v>Not Applicable</v>
      </c>
      <c r="K12" s="8" t="s">
        <v>27</v>
      </c>
      <c r="L12" s="19">
        <v>80</v>
      </c>
      <c r="M12" s="19">
        <v>75</v>
      </c>
      <c r="N12" s="65"/>
    </row>
    <row r="13" spans="2:14" ht="15.75" thickBot="1" x14ac:dyDescent="0.3"/>
    <row r="14" spans="2:14" ht="15.75" x14ac:dyDescent="0.25">
      <c r="C14" s="42" t="s">
        <v>29</v>
      </c>
      <c r="D14" s="43"/>
      <c r="L14" s="42" t="s">
        <v>29</v>
      </c>
      <c r="M14" s="43"/>
    </row>
    <row r="15" spans="2:14" ht="15.75" thickBot="1" x14ac:dyDescent="0.3">
      <c r="C15" s="44">
        <v>500</v>
      </c>
      <c r="D15" s="45"/>
      <c r="L15" s="44">
        <v>500</v>
      </c>
      <c r="M15" s="45"/>
    </row>
  </sheetData>
  <mergeCells count="6">
    <mergeCell ref="B2:E2"/>
    <mergeCell ref="C14:D14"/>
    <mergeCell ref="C15:D15"/>
    <mergeCell ref="K2:N2"/>
    <mergeCell ref="L14:M14"/>
    <mergeCell ref="L15:M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6C12-1BAF-467A-898C-E6BE10E91999}">
  <dimension ref="B2:Q12"/>
  <sheetViews>
    <sheetView showGridLines="0" workbookViewId="0">
      <selection activeCell="M2" sqref="M2:Q2"/>
    </sheetView>
  </sheetViews>
  <sheetFormatPr defaultRowHeight="15" x14ac:dyDescent="0.25"/>
  <cols>
    <col min="1" max="1" width="3.42578125" customWidth="1"/>
    <col min="2" max="2" width="13.28515625" customWidth="1"/>
    <col min="3" max="3" width="11.5703125" customWidth="1"/>
    <col min="4" max="4" width="10.42578125" customWidth="1"/>
    <col min="5" max="5" width="4.7109375" customWidth="1"/>
    <col min="6" max="6" width="15.5703125" customWidth="1"/>
    <col min="7" max="7" width="11.28515625" customWidth="1"/>
    <col min="13" max="13" width="10.5703125" bestFit="1" customWidth="1"/>
    <col min="14" max="14" width="7" bestFit="1" customWidth="1"/>
    <col min="15" max="15" width="6.85546875" bestFit="1" customWidth="1"/>
    <col min="17" max="17" width="14.5703125" bestFit="1" customWidth="1"/>
  </cols>
  <sheetData>
    <row r="2" spans="2:17" ht="18" thickBot="1" x14ac:dyDescent="0.35">
      <c r="B2" s="37" t="s">
        <v>49</v>
      </c>
      <c r="C2" s="37"/>
      <c r="D2" s="37"/>
      <c r="E2" s="37"/>
      <c r="F2" s="37"/>
      <c r="M2" s="63" t="s">
        <v>101</v>
      </c>
      <c r="N2" s="63"/>
      <c r="O2" s="63"/>
      <c r="P2" s="63"/>
      <c r="Q2" s="63"/>
    </row>
    <row r="3" spans="2:17" ht="16.5" thickTop="1" thickBot="1" x14ac:dyDescent="0.3"/>
    <row r="4" spans="2:17" ht="16.5" thickBot="1" x14ac:dyDescent="0.3">
      <c r="B4" s="14" t="s">
        <v>32</v>
      </c>
      <c r="C4" s="15" t="s">
        <v>33</v>
      </c>
      <c r="D4" s="16" t="s">
        <v>34</v>
      </c>
      <c r="M4" s="14" t="s">
        <v>32</v>
      </c>
      <c r="N4" s="15" t="s">
        <v>33</v>
      </c>
      <c r="O4" s="16" t="s">
        <v>34</v>
      </c>
    </row>
    <row r="5" spans="2:17" ht="16.5" thickBot="1" x14ac:dyDescent="0.3">
      <c r="B5" s="3" t="s">
        <v>42</v>
      </c>
      <c r="C5" s="23">
        <v>94</v>
      </c>
      <c r="D5" s="24" t="str">
        <f>IF(C5&gt;=80,"A",IF(C5&gt;=70,"B",IF(C5&gt;=60,"C",IF(C5&gt;=50,"D","F"))))</f>
        <v>A</v>
      </c>
      <c r="F5" s="22" t="s">
        <v>35</v>
      </c>
      <c r="M5" s="3" t="s">
        <v>42</v>
      </c>
      <c r="N5" s="23">
        <v>94</v>
      </c>
      <c r="O5" s="24" t="str">
        <f>IF(N5&gt;=80,"A",IF(N5&gt;=70,"B",IF(N5&gt;=60,"C",IF(N5&gt;=50,"D","F"))))</f>
        <v>A</v>
      </c>
      <c r="Q5" s="22" t="s">
        <v>35</v>
      </c>
    </row>
    <row r="6" spans="2:17" x14ac:dyDescent="0.25">
      <c r="B6" s="6" t="s">
        <v>41</v>
      </c>
      <c r="C6" s="18">
        <v>86</v>
      </c>
      <c r="D6" s="21" t="str">
        <f t="shared" ref="D6:D12" si="0">IF(C6&gt;=80,"A",IF(C6&gt;=70,"B",IF(C6&gt;=60,"C",IF(C6&gt;=50,"D","F"))))</f>
        <v>A</v>
      </c>
      <c r="F6" s="26" t="s">
        <v>36</v>
      </c>
      <c r="M6" s="6" t="s">
        <v>41</v>
      </c>
      <c r="N6" s="18">
        <v>86</v>
      </c>
      <c r="O6" s="21" t="str">
        <f t="shared" ref="O6:O12" si="1">IF(N6&gt;=80,"A",IF(N6&gt;=70,"B",IF(N6&gt;=60,"C",IF(N6&gt;=50,"D","F"))))</f>
        <v>A</v>
      </c>
      <c r="Q6" s="26" t="s">
        <v>36</v>
      </c>
    </row>
    <row r="7" spans="2:17" x14ac:dyDescent="0.25">
      <c r="B7" s="6" t="s">
        <v>43</v>
      </c>
      <c r="C7" s="18">
        <v>81</v>
      </c>
      <c r="D7" s="21" t="str">
        <f t="shared" si="0"/>
        <v>A</v>
      </c>
      <c r="F7" s="27" t="s">
        <v>37</v>
      </c>
      <c r="M7" s="6" t="s">
        <v>43</v>
      </c>
      <c r="N7" s="18">
        <v>81</v>
      </c>
      <c r="O7" s="21" t="str">
        <f t="shared" si="1"/>
        <v>A</v>
      </c>
      <c r="Q7" s="27" t="s">
        <v>37</v>
      </c>
    </row>
    <row r="8" spans="2:17" x14ac:dyDescent="0.25">
      <c r="B8" s="6" t="s">
        <v>44</v>
      </c>
      <c r="C8" s="18">
        <v>78</v>
      </c>
      <c r="D8" s="21" t="str">
        <f t="shared" si="0"/>
        <v>B</v>
      </c>
      <c r="F8" s="27" t="s">
        <v>38</v>
      </c>
      <c r="M8" s="6" t="s">
        <v>44</v>
      </c>
      <c r="N8" s="18">
        <v>78</v>
      </c>
      <c r="O8" s="21" t="str">
        <f t="shared" si="1"/>
        <v>B</v>
      </c>
      <c r="Q8" s="27" t="s">
        <v>38</v>
      </c>
    </row>
    <row r="9" spans="2:17" x14ac:dyDescent="0.25">
      <c r="B9" s="6" t="s">
        <v>45</v>
      </c>
      <c r="C9" s="18">
        <v>68</v>
      </c>
      <c r="D9" s="21" t="str">
        <f t="shared" si="0"/>
        <v>C</v>
      </c>
      <c r="F9" s="27" t="s">
        <v>39</v>
      </c>
      <c r="M9" s="6" t="s">
        <v>45</v>
      </c>
      <c r="N9" s="18">
        <v>68</v>
      </c>
      <c r="O9" s="21" t="str">
        <f t="shared" si="1"/>
        <v>C</v>
      </c>
      <c r="Q9" s="27" t="s">
        <v>39</v>
      </c>
    </row>
    <row r="10" spans="2:17" ht="15.75" thickBot="1" x14ac:dyDescent="0.3">
      <c r="B10" s="6" t="s">
        <v>46</v>
      </c>
      <c r="C10" s="18">
        <v>54</v>
      </c>
      <c r="D10" s="21" t="str">
        <f t="shared" si="0"/>
        <v>D</v>
      </c>
      <c r="F10" s="28" t="s">
        <v>40</v>
      </c>
      <c r="M10" s="6" t="s">
        <v>46</v>
      </c>
      <c r="N10" s="18">
        <v>54</v>
      </c>
      <c r="O10" s="21" t="str">
        <f t="shared" si="1"/>
        <v>D</v>
      </c>
      <c r="Q10" s="28" t="s">
        <v>40</v>
      </c>
    </row>
    <row r="11" spans="2:17" x14ac:dyDescent="0.25">
      <c r="B11" s="6" t="s">
        <v>48</v>
      </c>
      <c r="C11" s="18">
        <v>47</v>
      </c>
      <c r="D11" s="21" t="str">
        <f t="shared" si="0"/>
        <v>F</v>
      </c>
      <c r="M11" s="6" t="s">
        <v>48</v>
      </c>
      <c r="N11" s="18">
        <v>47</v>
      </c>
      <c r="O11" s="21" t="str">
        <f t="shared" si="1"/>
        <v>F</v>
      </c>
    </row>
    <row r="12" spans="2:17" ht="15.75" thickBot="1" x14ac:dyDescent="0.3">
      <c r="B12" s="8" t="s">
        <v>47</v>
      </c>
      <c r="C12" s="19">
        <v>56</v>
      </c>
      <c r="D12" s="25" t="str">
        <f t="shared" si="0"/>
        <v>D</v>
      </c>
      <c r="M12" s="8" t="s">
        <v>47</v>
      </c>
      <c r="N12" s="19">
        <v>56</v>
      </c>
      <c r="O12" s="25" t="str">
        <f t="shared" si="1"/>
        <v>D</v>
      </c>
    </row>
  </sheetData>
  <mergeCells count="2">
    <mergeCell ref="B2:F2"/>
    <mergeCell ref="M2:Q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3485-306A-49ED-868C-EF909461A145}">
  <dimension ref="B2:X21"/>
  <sheetViews>
    <sheetView showGridLines="0" workbookViewId="0">
      <selection activeCell="P2" sqref="P2:U2"/>
    </sheetView>
  </sheetViews>
  <sheetFormatPr defaultRowHeight="15" x14ac:dyDescent="0.25"/>
  <cols>
    <col min="1" max="1" width="3.5703125" customWidth="1"/>
    <col min="3" max="3" width="10.7109375" customWidth="1"/>
    <col min="4" max="4" width="12" customWidth="1"/>
    <col min="5" max="5" width="10.7109375" customWidth="1"/>
    <col min="6" max="6" width="11.7109375" customWidth="1"/>
    <col min="7" max="7" width="11.42578125" customWidth="1"/>
    <col min="8" max="8" width="3.7109375" customWidth="1"/>
    <col min="9" max="9" width="17.42578125" bestFit="1" customWidth="1"/>
    <col min="16" max="16" width="6.42578125" bestFit="1" customWidth="1"/>
    <col min="17" max="17" width="10" bestFit="1" customWidth="1"/>
    <col min="18" max="18" width="10.5703125" bestFit="1" customWidth="1"/>
    <col min="20" max="20" width="9.7109375" bestFit="1" customWidth="1"/>
    <col min="21" max="21" width="10" bestFit="1" customWidth="1"/>
    <col min="23" max="23" width="17.42578125" bestFit="1" customWidth="1"/>
    <col min="24" max="24" width="6.5703125" bestFit="1" customWidth="1"/>
  </cols>
  <sheetData>
    <row r="2" spans="2:24" ht="18" thickBot="1" x14ac:dyDescent="0.35">
      <c r="B2" s="37" t="s">
        <v>50</v>
      </c>
      <c r="C2" s="37"/>
      <c r="D2" s="37"/>
      <c r="E2" s="37"/>
      <c r="F2" s="37"/>
      <c r="G2" s="37"/>
      <c r="P2" s="63" t="s">
        <v>101</v>
      </c>
      <c r="Q2" s="63"/>
      <c r="R2" s="63"/>
      <c r="S2" s="63"/>
      <c r="T2" s="63"/>
      <c r="U2" s="63"/>
    </row>
    <row r="3" spans="2:24" ht="16.5" thickTop="1" thickBot="1" x14ac:dyDescent="0.3"/>
    <row r="4" spans="2:24" ht="16.5" thickBot="1" x14ac:dyDescent="0.3">
      <c r="B4" s="29" t="s">
        <v>51</v>
      </c>
      <c r="C4" s="30" t="s">
        <v>52</v>
      </c>
      <c r="D4" s="30" t="s">
        <v>53</v>
      </c>
      <c r="E4" s="30" t="s">
        <v>54</v>
      </c>
      <c r="F4" s="30" t="s">
        <v>55</v>
      </c>
      <c r="G4" s="31" t="s">
        <v>56</v>
      </c>
      <c r="P4" s="29" t="s">
        <v>51</v>
      </c>
      <c r="Q4" s="30" t="s">
        <v>52</v>
      </c>
      <c r="R4" s="30" t="s">
        <v>53</v>
      </c>
      <c r="S4" s="30" t="s">
        <v>54</v>
      </c>
      <c r="T4" s="30" t="s">
        <v>55</v>
      </c>
      <c r="U4" s="31" t="s">
        <v>56</v>
      </c>
    </row>
    <row r="5" spans="2:24" x14ac:dyDescent="0.25">
      <c r="B5" s="3">
        <v>101</v>
      </c>
      <c r="C5" s="4" t="s">
        <v>57</v>
      </c>
      <c r="D5" s="32">
        <v>800</v>
      </c>
      <c r="E5" s="4" t="s">
        <v>58</v>
      </c>
      <c r="F5" s="33">
        <v>44403</v>
      </c>
      <c r="G5" s="5" t="str">
        <f>IF(NOT(E5=$J$11),C5,"")</f>
        <v>Adam</v>
      </c>
      <c r="P5" s="3">
        <v>101</v>
      </c>
      <c r="Q5" s="4" t="s">
        <v>57</v>
      </c>
      <c r="R5" s="32">
        <v>800</v>
      </c>
      <c r="S5" s="4" t="s">
        <v>58</v>
      </c>
      <c r="T5" s="33">
        <v>44403</v>
      </c>
      <c r="U5" s="5" t="str">
        <f>IF(NOT(S5=$J$11),Q5,"")</f>
        <v>Adam</v>
      </c>
    </row>
    <row r="6" spans="2:24" x14ac:dyDescent="0.25">
      <c r="B6" s="6">
        <v>102</v>
      </c>
      <c r="C6" s="1" t="s">
        <v>20</v>
      </c>
      <c r="D6" s="2">
        <v>500</v>
      </c>
      <c r="E6" s="1" t="s">
        <v>59</v>
      </c>
      <c r="F6" s="34">
        <v>44409</v>
      </c>
      <c r="G6" s="7" t="str">
        <f t="shared" ref="G6:G21" si="0">IF(NOT(E6=$J$11),C6,"")</f>
        <v/>
      </c>
      <c r="P6" s="6">
        <v>102</v>
      </c>
      <c r="Q6" s="1" t="s">
        <v>20</v>
      </c>
      <c r="R6" s="2">
        <v>500</v>
      </c>
      <c r="S6" s="1" t="s">
        <v>59</v>
      </c>
      <c r="T6" s="34">
        <v>44409</v>
      </c>
      <c r="U6" s="7"/>
    </row>
    <row r="7" spans="2:24" x14ac:dyDescent="0.25">
      <c r="B7" s="6">
        <v>104</v>
      </c>
      <c r="C7" s="1" t="s">
        <v>60</v>
      </c>
      <c r="D7" s="2">
        <v>620</v>
      </c>
      <c r="E7" s="1" t="s">
        <v>61</v>
      </c>
      <c r="F7" s="34">
        <v>44410</v>
      </c>
      <c r="G7" s="7" t="str">
        <f t="shared" si="0"/>
        <v>Anna</v>
      </c>
      <c r="P7" s="6">
        <v>104</v>
      </c>
      <c r="Q7" s="1" t="s">
        <v>60</v>
      </c>
      <c r="R7" s="2">
        <v>620</v>
      </c>
      <c r="S7" s="1" t="s">
        <v>61</v>
      </c>
      <c r="T7" s="34">
        <v>44410</v>
      </c>
      <c r="U7" s="7"/>
    </row>
    <row r="8" spans="2:24" x14ac:dyDescent="0.25">
      <c r="B8" s="6">
        <v>105</v>
      </c>
      <c r="C8" s="1" t="s">
        <v>62</v>
      </c>
      <c r="D8" s="2">
        <v>1100</v>
      </c>
      <c r="E8" s="1" t="s">
        <v>58</v>
      </c>
      <c r="F8" s="34">
        <v>44407</v>
      </c>
      <c r="G8" s="7" t="str">
        <f t="shared" si="0"/>
        <v>John</v>
      </c>
      <c r="P8" s="6">
        <v>105</v>
      </c>
      <c r="Q8" s="1" t="s">
        <v>62</v>
      </c>
      <c r="R8" s="2">
        <v>1100</v>
      </c>
      <c r="S8" s="1" t="s">
        <v>58</v>
      </c>
      <c r="T8" s="34">
        <v>44407</v>
      </c>
      <c r="U8" s="7"/>
    </row>
    <row r="9" spans="2:24" x14ac:dyDescent="0.25">
      <c r="B9" s="6">
        <v>110</v>
      </c>
      <c r="C9" s="1" t="s">
        <v>63</v>
      </c>
      <c r="D9" s="2">
        <v>420</v>
      </c>
      <c r="E9" s="1" t="s">
        <v>59</v>
      </c>
      <c r="F9" s="34">
        <v>44392</v>
      </c>
      <c r="G9" s="7" t="str">
        <f t="shared" si="0"/>
        <v/>
      </c>
      <c r="P9" s="6">
        <v>110</v>
      </c>
      <c r="Q9" s="1" t="s">
        <v>63</v>
      </c>
      <c r="R9" s="2">
        <v>420</v>
      </c>
      <c r="S9" s="1" t="s">
        <v>59</v>
      </c>
      <c r="T9" s="34">
        <v>44392</v>
      </c>
      <c r="U9" s="7"/>
    </row>
    <row r="10" spans="2:24" ht="15.75" thickBot="1" x14ac:dyDescent="0.3">
      <c r="B10" s="6">
        <v>112</v>
      </c>
      <c r="C10" s="1" t="s">
        <v>64</v>
      </c>
      <c r="D10" s="2">
        <v>450</v>
      </c>
      <c r="E10" s="1" t="s">
        <v>59</v>
      </c>
      <c r="F10" s="34">
        <v>44398</v>
      </c>
      <c r="G10" s="7" t="str">
        <f t="shared" si="0"/>
        <v/>
      </c>
      <c r="P10" s="6">
        <v>112</v>
      </c>
      <c r="Q10" s="1" t="s">
        <v>64</v>
      </c>
      <c r="R10" s="2">
        <v>450</v>
      </c>
      <c r="S10" s="1" t="s">
        <v>59</v>
      </c>
      <c r="T10" s="34">
        <v>44398</v>
      </c>
      <c r="U10" s="7"/>
    </row>
    <row r="11" spans="2:24" x14ac:dyDescent="0.25">
      <c r="B11" s="6">
        <v>114</v>
      </c>
      <c r="C11" s="1" t="s">
        <v>65</v>
      </c>
      <c r="D11" s="2">
        <v>550</v>
      </c>
      <c r="E11" s="1" t="s">
        <v>61</v>
      </c>
      <c r="F11" s="34">
        <v>44393</v>
      </c>
      <c r="G11" s="7" t="str">
        <f t="shared" si="0"/>
        <v>Clarke</v>
      </c>
      <c r="I11" s="46" t="s">
        <v>66</v>
      </c>
      <c r="J11" s="48" t="s">
        <v>59</v>
      </c>
      <c r="P11" s="6">
        <v>114</v>
      </c>
      <c r="Q11" s="1" t="s">
        <v>65</v>
      </c>
      <c r="R11" s="2">
        <v>550</v>
      </c>
      <c r="S11" s="1" t="s">
        <v>61</v>
      </c>
      <c r="T11" s="34">
        <v>44393</v>
      </c>
      <c r="U11" s="7"/>
      <c r="W11" s="46" t="s">
        <v>66</v>
      </c>
      <c r="X11" s="48" t="s">
        <v>59</v>
      </c>
    </row>
    <row r="12" spans="2:24" ht="15.75" thickBot="1" x14ac:dyDescent="0.3">
      <c r="B12" s="6">
        <v>115</v>
      </c>
      <c r="C12" s="1" t="s">
        <v>67</v>
      </c>
      <c r="D12" s="2">
        <v>300</v>
      </c>
      <c r="E12" s="1" t="s">
        <v>58</v>
      </c>
      <c r="F12" s="34">
        <v>44399</v>
      </c>
      <c r="G12" s="7" t="str">
        <f t="shared" si="0"/>
        <v>Ricky</v>
      </c>
      <c r="I12" s="47"/>
      <c r="J12" s="49"/>
      <c r="P12" s="6">
        <v>115</v>
      </c>
      <c r="Q12" s="1" t="s">
        <v>67</v>
      </c>
      <c r="R12" s="2">
        <v>300</v>
      </c>
      <c r="S12" s="1" t="s">
        <v>58</v>
      </c>
      <c r="T12" s="34">
        <v>44399</v>
      </c>
      <c r="U12" s="7"/>
      <c r="W12" s="47"/>
      <c r="X12" s="49"/>
    </row>
    <row r="13" spans="2:24" x14ac:dyDescent="0.25">
      <c r="B13" s="6">
        <v>119</v>
      </c>
      <c r="C13" s="1" t="s">
        <v>68</v>
      </c>
      <c r="D13" s="2">
        <v>150</v>
      </c>
      <c r="E13" s="1" t="s">
        <v>59</v>
      </c>
      <c r="F13" s="34">
        <v>44396</v>
      </c>
      <c r="G13" s="7" t="str">
        <f t="shared" si="0"/>
        <v/>
      </c>
      <c r="P13" s="6">
        <v>119</v>
      </c>
      <c r="Q13" s="1" t="s">
        <v>68</v>
      </c>
      <c r="R13" s="2">
        <v>150</v>
      </c>
      <c r="S13" s="1" t="s">
        <v>59</v>
      </c>
      <c r="T13" s="34">
        <v>44396</v>
      </c>
      <c r="U13" s="7"/>
    </row>
    <row r="14" spans="2:24" x14ac:dyDescent="0.25">
      <c r="B14" s="6">
        <v>126</v>
      </c>
      <c r="C14" s="1" t="s">
        <v>69</v>
      </c>
      <c r="D14" s="2">
        <v>900</v>
      </c>
      <c r="E14" s="1" t="s">
        <v>59</v>
      </c>
      <c r="F14" s="34">
        <v>44405</v>
      </c>
      <c r="G14" s="7" t="str">
        <f t="shared" si="0"/>
        <v/>
      </c>
      <c r="P14" s="6">
        <v>126</v>
      </c>
      <c r="Q14" s="1" t="s">
        <v>69</v>
      </c>
      <c r="R14" s="2">
        <v>900</v>
      </c>
      <c r="S14" s="1" t="s">
        <v>59</v>
      </c>
      <c r="T14" s="34">
        <v>44405</v>
      </c>
      <c r="U14" s="7"/>
    </row>
    <row r="15" spans="2:24" x14ac:dyDescent="0.25">
      <c r="B15" s="6">
        <v>128</v>
      </c>
      <c r="C15" s="1" t="s">
        <v>25</v>
      </c>
      <c r="D15" s="2">
        <v>800</v>
      </c>
      <c r="E15" s="1" t="s">
        <v>58</v>
      </c>
      <c r="F15" s="34">
        <v>44409</v>
      </c>
      <c r="G15" s="7" t="str">
        <f t="shared" si="0"/>
        <v>Cris</v>
      </c>
      <c r="P15" s="6">
        <v>128</v>
      </c>
      <c r="Q15" s="1" t="s">
        <v>25</v>
      </c>
      <c r="R15" s="2">
        <v>800</v>
      </c>
      <c r="S15" s="1" t="s">
        <v>58</v>
      </c>
      <c r="T15" s="34">
        <v>44409</v>
      </c>
      <c r="U15" s="7"/>
    </row>
    <row r="16" spans="2:24" x14ac:dyDescent="0.25">
      <c r="B16" s="6">
        <v>130</v>
      </c>
      <c r="C16" s="1" t="s">
        <v>70</v>
      </c>
      <c r="D16" s="2">
        <v>1200</v>
      </c>
      <c r="E16" s="1" t="s">
        <v>61</v>
      </c>
      <c r="F16" s="34">
        <v>44409</v>
      </c>
      <c r="G16" s="7" t="str">
        <f t="shared" si="0"/>
        <v>Richards</v>
      </c>
      <c r="P16" s="6">
        <v>130</v>
      </c>
      <c r="Q16" s="1" t="s">
        <v>70</v>
      </c>
      <c r="R16" s="2">
        <v>1200</v>
      </c>
      <c r="S16" s="1" t="s">
        <v>61</v>
      </c>
      <c r="T16" s="34">
        <v>44409</v>
      </c>
      <c r="U16" s="7"/>
    </row>
    <row r="17" spans="2:21" x14ac:dyDescent="0.25">
      <c r="B17" s="6">
        <v>132</v>
      </c>
      <c r="C17" s="1" t="s">
        <v>71</v>
      </c>
      <c r="D17" s="2">
        <v>630</v>
      </c>
      <c r="E17" s="1" t="s">
        <v>59</v>
      </c>
      <c r="F17" s="34">
        <v>44411</v>
      </c>
      <c r="G17" s="7" t="str">
        <f t="shared" si="0"/>
        <v/>
      </c>
      <c r="P17" s="6">
        <v>132</v>
      </c>
      <c r="Q17" s="1" t="s">
        <v>71</v>
      </c>
      <c r="R17" s="2">
        <v>630</v>
      </c>
      <c r="S17" s="1" t="s">
        <v>59</v>
      </c>
      <c r="T17" s="34">
        <v>44411</v>
      </c>
      <c r="U17" s="7"/>
    </row>
    <row r="18" spans="2:21" x14ac:dyDescent="0.25">
      <c r="B18" s="6">
        <v>133</v>
      </c>
      <c r="C18" s="1" t="s">
        <v>72</v>
      </c>
      <c r="D18" s="2">
        <v>760</v>
      </c>
      <c r="E18" s="1" t="s">
        <v>58</v>
      </c>
      <c r="F18" s="34">
        <v>44405</v>
      </c>
      <c r="G18" s="7" t="str">
        <f t="shared" si="0"/>
        <v>Josephine</v>
      </c>
      <c r="P18" s="6">
        <v>133</v>
      </c>
      <c r="Q18" s="1" t="s">
        <v>72</v>
      </c>
      <c r="R18" s="2">
        <v>760</v>
      </c>
      <c r="S18" s="1" t="s">
        <v>58</v>
      </c>
      <c r="T18" s="34">
        <v>44405</v>
      </c>
      <c r="U18" s="7"/>
    </row>
    <row r="19" spans="2:21" x14ac:dyDescent="0.25">
      <c r="B19" s="6">
        <v>136</v>
      </c>
      <c r="C19" s="1" t="s">
        <v>73</v>
      </c>
      <c r="D19" s="2">
        <v>440</v>
      </c>
      <c r="E19" s="1" t="s">
        <v>58</v>
      </c>
      <c r="F19" s="34">
        <v>44396</v>
      </c>
      <c r="G19" s="7" t="str">
        <f t="shared" si="0"/>
        <v>Amanda</v>
      </c>
      <c r="P19" s="6">
        <v>136</v>
      </c>
      <c r="Q19" s="1" t="s">
        <v>73</v>
      </c>
      <c r="R19" s="2">
        <v>440</v>
      </c>
      <c r="S19" s="1" t="s">
        <v>58</v>
      </c>
      <c r="T19" s="34">
        <v>44396</v>
      </c>
      <c r="U19" s="7"/>
    </row>
    <row r="20" spans="2:21" x14ac:dyDescent="0.25">
      <c r="B20" s="6">
        <v>139</v>
      </c>
      <c r="C20" s="1" t="s">
        <v>74</v>
      </c>
      <c r="D20" s="2">
        <v>600</v>
      </c>
      <c r="E20" s="1" t="s">
        <v>59</v>
      </c>
      <c r="F20" s="34">
        <v>44398</v>
      </c>
      <c r="G20" s="7" t="str">
        <f t="shared" si="0"/>
        <v/>
      </c>
      <c r="P20" s="6">
        <v>139</v>
      </c>
      <c r="Q20" s="1" t="s">
        <v>74</v>
      </c>
      <c r="R20" s="2">
        <v>600</v>
      </c>
      <c r="S20" s="1" t="s">
        <v>59</v>
      </c>
      <c r="T20" s="34">
        <v>44398</v>
      </c>
      <c r="U20" s="7"/>
    </row>
    <row r="21" spans="2:21" ht="15.75" thickBot="1" x14ac:dyDescent="0.3">
      <c r="B21" s="8">
        <v>140</v>
      </c>
      <c r="C21" s="35" t="s">
        <v>21</v>
      </c>
      <c r="D21" s="9">
        <v>400</v>
      </c>
      <c r="E21" s="35" t="s">
        <v>58</v>
      </c>
      <c r="F21" s="36">
        <v>44393</v>
      </c>
      <c r="G21" s="10" t="str">
        <f t="shared" si="0"/>
        <v>Teresa</v>
      </c>
      <c r="P21" s="8">
        <v>140</v>
      </c>
      <c r="Q21" s="35" t="s">
        <v>21</v>
      </c>
      <c r="R21" s="9">
        <v>400</v>
      </c>
      <c r="S21" s="35" t="s">
        <v>58</v>
      </c>
      <c r="T21" s="36">
        <v>44393</v>
      </c>
      <c r="U21" s="10"/>
    </row>
  </sheetData>
  <mergeCells count="6">
    <mergeCell ref="X11:X12"/>
    <mergeCell ref="B2:G2"/>
    <mergeCell ref="I11:I12"/>
    <mergeCell ref="J11:J12"/>
    <mergeCell ref="P2:U2"/>
    <mergeCell ref="W11:W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5A83-BD39-43A7-9313-3157AB69BDA4}">
  <dimension ref="B2:L14"/>
  <sheetViews>
    <sheetView showGridLines="0" workbookViewId="0">
      <selection activeCell="L20" sqref="L20"/>
    </sheetView>
  </sheetViews>
  <sheetFormatPr defaultRowHeight="15" x14ac:dyDescent="0.25"/>
  <cols>
    <col min="1" max="1" width="3.28515625" customWidth="1"/>
    <col min="2" max="2" width="12.42578125" customWidth="1"/>
    <col min="3" max="3" width="17.140625" customWidth="1"/>
    <col min="4" max="4" width="9.7109375" customWidth="1"/>
    <col min="11" max="11" width="26" customWidth="1"/>
    <col min="12" max="12" width="30.85546875" customWidth="1"/>
  </cols>
  <sheetData>
    <row r="2" spans="2:12" ht="18" thickBot="1" x14ac:dyDescent="0.35">
      <c r="B2" s="37" t="s">
        <v>79</v>
      </c>
      <c r="C2" s="37"/>
      <c r="K2" s="63" t="s">
        <v>101</v>
      </c>
      <c r="L2" s="63"/>
    </row>
    <row r="3" spans="2:12" ht="16.5" thickTop="1" thickBot="1" x14ac:dyDescent="0.3"/>
    <row r="4" spans="2:12" ht="16.5" thickBot="1" x14ac:dyDescent="0.3">
      <c r="B4" s="14" t="s">
        <v>75</v>
      </c>
      <c r="C4" s="16" t="s">
        <v>78</v>
      </c>
      <c r="K4" s="14" t="s">
        <v>75</v>
      </c>
      <c r="L4" s="16" t="s">
        <v>78</v>
      </c>
    </row>
    <row r="5" spans="2:12" x14ac:dyDescent="0.25">
      <c r="B5" s="11">
        <v>112</v>
      </c>
      <c r="C5" s="13" t="str">
        <f>IF(ISTEXT(B5),"Text",IF(ISNUMBER(B5),"Number", IF(ISBLANK(B5),"Blank",IF(ISLOGICAL(B5),"Logical Value",""))))</f>
        <v>Number</v>
      </c>
      <c r="K5" s="11">
        <v>112</v>
      </c>
      <c r="L5" s="13" t="str">
        <f>IF(ISTEXT(K5),"Text",IF(ISNUMBER(K5),"Number", IF(ISBLANK(K5),"Blank",IF(ISLOGICAL(K5),"Logical Value",""))))</f>
        <v>Number</v>
      </c>
    </row>
    <row r="6" spans="2:12" x14ac:dyDescent="0.25">
      <c r="B6" s="6" t="s">
        <v>20</v>
      </c>
      <c r="C6" s="7" t="str">
        <f t="shared" ref="C6:C14" si="0">IF(ISTEXT(B6),"Text",IF(ISNUMBER(B6),"Number",IF(ISBLANK(B6),"Blank",IF(ISLOGICAL(B6),"Logical Value",""))))</f>
        <v>Text</v>
      </c>
      <c r="K6" s="6" t="s">
        <v>20</v>
      </c>
      <c r="L6" s="7"/>
    </row>
    <row r="7" spans="2:12" x14ac:dyDescent="0.25">
      <c r="B7" s="6">
        <v>5.78</v>
      </c>
      <c r="C7" s="7" t="str">
        <f t="shared" si="0"/>
        <v>Number</v>
      </c>
      <c r="K7" s="6">
        <v>5.78</v>
      </c>
      <c r="L7" s="7"/>
    </row>
    <row r="8" spans="2:12" x14ac:dyDescent="0.25">
      <c r="B8" s="6"/>
      <c r="C8" s="7" t="str">
        <f t="shared" si="0"/>
        <v>Blank</v>
      </c>
      <c r="K8" s="6"/>
      <c r="L8" s="7"/>
    </row>
    <row r="9" spans="2:12" x14ac:dyDescent="0.25">
      <c r="B9" s="6" t="s">
        <v>76</v>
      </c>
      <c r="C9" s="7" t="str">
        <f t="shared" si="0"/>
        <v>Text</v>
      </c>
      <c r="K9" s="6" t="s">
        <v>76</v>
      </c>
      <c r="L9" s="7"/>
    </row>
    <row r="10" spans="2:12" x14ac:dyDescent="0.25">
      <c r="B10" s="6" t="b">
        <v>1</v>
      </c>
      <c r="C10" s="7" t="str">
        <f t="shared" si="0"/>
        <v>Logical Value</v>
      </c>
      <c r="K10" s="6" t="b">
        <v>1</v>
      </c>
      <c r="L10" s="7"/>
    </row>
    <row r="11" spans="2:12" x14ac:dyDescent="0.25">
      <c r="B11" s="6" t="b">
        <v>0</v>
      </c>
      <c r="C11" s="7" t="str">
        <f t="shared" si="0"/>
        <v>Logical Value</v>
      </c>
      <c r="K11" s="6" t="b">
        <v>0</v>
      </c>
      <c r="L11" s="7"/>
    </row>
    <row r="12" spans="2:12" x14ac:dyDescent="0.25">
      <c r="B12" s="6"/>
      <c r="C12" s="7" t="str">
        <f t="shared" si="0"/>
        <v>Blank</v>
      </c>
      <c r="K12" s="6"/>
      <c r="L12" s="7"/>
    </row>
    <row r="13" spans="2:12" x14ac:dyDescent="0.25">
      <c r="B13" s="6">
        <v>-56</v>
      </c>
      <c r="C13" s="7" t="str">
        <f t="shared" si="0"/>
        <v>Number</v>
      </c>
      <c r="K13" s="6">
        <v>-56</v>
      </c>
      <c r="L13" s="7"/>
    </row>
    <row r="14" spans="2:12" ht="15.75" thickBot="1" x14ac:dyDescent="0.3">
      <c r="B14" s="8" t="s">
        <v>77</v>
      </c>
      <c r="C14" s="10" t="str">
        <f t="shared" si="0"/>
        <v>Text</v>
      </c>
      <c r="K14" s="8" t="s">
        <v>77</v>
      </c>
      <c r="L14" s="10"/>
    </row>
  </sheetData>
  <mergeCells count="2">
    <mergeCell ref="B2:C2"/>
    <mergeCell ref="K2:L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4E86-47AD-491D-8591-2F612C525B56}">
  <dimension ref="B2:O11"/>
  <sheetViews>
    <sheetView showGridLines="0" workbookViewId="0">
      <selection activeCell="L2" sqref="L2:O2"/>
    </sheetView>
  </sheetViews>
  <sheetFormatPr defaultRowHeight="15" x14ac:dyDescent="0.25"/>
  <cols>
    <col min="1" max="1" width="3.42578125" customWidth="1"/>
    <col min="2" max="2" width="9.85546875" customWidth="1"/>
    <col min="4" max="4" width="10.42578125" customWidth="1"/>
    <col min="5" max="5" width="24.28515625" customWidth="1"/>
    <col min="6" max="6" width="9.7109375" customWidth="1"/>
    <col min="12" max="12" width="8.42578125" bestFit="1" customWidth="1"/>
    <col min="13" max="13" width="7.140625" bestFit="1" customWidth="1"/>
    <col min="14" max="14" width="9" bestFit="1" customWidth="1"/>
    <col min="15" max="15" width="18.85546875" bestFit="1" customWidth="1"/>
  </cols>
  <sheetData>
    <row r="2" spans="2:15" ht="18" thickBot="1" x14ac:dyDescent="0.35">
      <c r="B2" s="37" t="s">
        <v>85</v>
      </c>
      <c r="C2" s="37"/>
      <c r="D2" s="37"/>
      <c r="E2" s="37"/>
      <c r="L2" s="63" t="s">
        <v>101</v>
      </c>
      <c r="M2" s="63"/>
      <c r="N2" s="63"/>
      <c r="O2" s="63"/>
    </row>
    <row r="3" spans="2:15" ht="16.5" thickTop="1" thickBot="1" x14ac:dyDescent="0.3"/>
    <row r="4" spans="2:15" ht="15.75" thickBot="1" x14ac:dyDescent="0.3">
      <c r="B4" s="53" t="s">
        <v>80</v>
      </c>
      <c r="C4" s="54" t="s">
        <v>81</v>
      </c>
      <c r="D4" s="54" t="s">
        <v>82</v>
      </c>
      <c r="E4" s="55" t="s">
        <v>84</v>
      </c>
      <c r="L4" s="53" t="s">
        <v>80</v>
      </c>
      <c r="M4" s="54" t="s">
        <v>81</v>
      </c>
      <c r="N4" s="54" t="s">
        <v>82</v>
      </c>
      <c r="O4" s="55" t="s">
        <v>84</v>
      </c>
    </row>
    <row r="5" spans="2:15" x14ac:dyDescent="0.25">
      <c r="B5" s="11">
        <v>24</v>
      </c>
      <c r="C5" s="52">
        <v>6</v>
      </c>
      <c r="D5" s="52">
        <f>B5/C5</f>
        <v>4</v>
      </c>
      <c r="E5" s="13">
        <f>IF(ISERROR(B5/C5),"",B5/C5)</f>
        <v>4</v>
      </c>
      <c r="L5" s="11">
        <v>24</v>
      </c>
      <c r="M5" s="52">
        <v>6</v>
      </c>
      <c r="N5" s="52">
        <f>L5/M5</f>
        <v>4</v>
      </c>
      <c r="O5" s="13">
        <f>IF(ISERROR(L5/M5),"",L5/M5)</f>
        <v>4</v>
      </c>
    </row>
    <row r="6" spans="2:15" x14ac:dyDescent="0.25">
      <c r="B6" s="6">
        <v>24</v>
      </c>
      <c r="C6" s="1">
        <v>1.2</v>
      </c>
      <c r="D6" s="1">
        <f t="shared" ref="D6:D11" si="0">B6/C6</f>
        <v>20</v>
      </c>
      <c r="E6" s="7">
        <f t="shared" ref="E6:E11" si="1">IF(ISERROR(B6/C6),"",B6/C6)</f>
        <v>20</v>
      </c>
      <c r="L6" s="6">
        <v>24</v>
      </c>
      <c r="M6" s="1">
        <v>1.2</v>
      </c>
      <c r="N6" s="1">
        <f t="shared" ref="N6:N11" si="2">L6/M6</f>
        <v>20</v>
      </c>
      <c r="O6" s="7"/>
    </row>
    <row r="7" spans="2:15" x14ac:dyDescent="0.25">
      <c r="B7" s="6">
        <v>24</v>
      </c>
      <c r="C7" s="1">
        <v>0</v>
      </c>
      <c r="D7" s="1" t="e">
        <f t="shared" si="0"/>
        <v>#DIV/0!</v>
      </c>
      <c r="E7" s="7" t="str">
        <f t="shared" si="1"/>
        <v/>
      </c>
      <c r="L7" s="6">
        <v>24</v>
      </c>
      <c r="M7" s="1">
        <v>0</v>
      </c>
      <c r="N7" s="1" t="e">
        <f t="shared" si="2"/>
        <v>#DIV/0!</v>
      </c>
      <c r="O7" s="7"/>
    </row>
    <row r="8" spans="2:15" x14ac:dyDescent="0.25">
      <c r="B8" s="6">
        <v>0</v>
      </c>
      <c r="C8" s="1">
        <v>24</v>
      </c>
      <c r="D8" s="1">
        <f t="shared" si="0"/>
        <v>0</v>
      </c>
      <c r="E8" s="7">
        <f t="shared" si="1"/>
        <v>0</v>
      </c>
      <c r="L8" s="6">
        <v>0</v>
      </c>
      <c r="M8" s="1">
        <v>24</v>
      </c>
      <c r="N8" s="1">
        <f t="shared" si="2"/>
        <v>0</v>
      </c>
      <c r="O8" s="7"/>
    </row>
    <row r="9" spans="2:15" x14ac:dyDescent="0.25">
      <c r="B9" s="6">
        <v>24</v>
      </c>
      <c r="C9" s="1" t="s">
        <v>83</v>
      </c>
      <c r="D9" s="1" t="e">
        <f t="shared" si="0"/>
        <v>#VALUE!</v>
      </c>
      <c r="E9" s="7" t="str">
        <f t="shared" si="1"/>
        <v/>
      </c>
      <c r="L9" s="6">
        <v>24</v>
      </c>
      <c r="M9" s="1" t="s">
        <v>83</v>
      </c>
      <c r="N9" s="1" t="e">
        <f t="shared" si="2"/>
        <v>#VALUE!</v>
      </c>
      <c r="O9" s="7"/>
    </row>
    <row r="10" spans="2:15" x14ac:dyDescent="0.25">
      <c r="B10" s="6">
        <v>35</v>
      </c>
      <c r="C10" s="1">
        <v>24</v>
      </c>
      <c r="D10" s="50">
        <f t="shared" si="0"/>
        <v>1.4583333333333333</v>
      </c>
      <c r="E10" s="51">
        <f t="shared" si="1"/>
        <v>1.4583333333333333</v>
      </c>
      <c r="L10" s="6">
        <v>35</v>
      </c>
      <c r="M10" s="1">
        <v>24</v>
      </c>
      <c r="N10" s="50">
        <f t="shared" si="2"/>
        <v>1.4583333333333333</v>
      </c>
      <c r="O10" s="51"/>
    </row>
    <row r="11" spans="2:15" ht="15.75" thickBot="1" x14ac:dyDescent="0.3">
      <c r="B11" s="8">
        <v>24</v>
      </c>
      <c r="C11" s="35"/>
      <c r="D11" s="35" t="e">
        <f t="shared" si="0"/>
        <v>#DIV/0!</v>
      </c>
      <c r="E11" s="10" t="str">
        <f t="shared" si="1"/>
        <v/>
      </c>
      <c r="L11" s="8">
        <v>24</v>
      </c>
      <c r="M11" s="35"/>
      <c r="N11" s="35" t="e">
        <f t="shared" si="2"/>
        <v>#DIV/0!</v>
      </c>
      <c r="O11" s="10"/>
    </row>
  </sheetData>
  <mergeCells count="2">
    <mergeCell ref="B2:E2"/>
    <mergeCell ref="L2:O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D155-9998-43C7-BE40-320B64BA2F36}">
  <dimension ref="B2:M10"/>
  <sheetViews>
    <sheetView showGridLines="0" workbookViewId="0">
      <selection activeCell="J2" sqref="J2:M2"/>
    </sheetView>
  </sheetViews>
  <sheetFormatPr defaultRowHeight="15" x14ac:dyDescent="0.25"/>
  <cols>
    <col min="1" max="1" width="3.28515625" customWidth="1"/>
    <col min="2" max="2" width="11.28515625" customWidth="1"/>
    <col min="3" max="3" width="13.85546875" customWidth="1"/>
    <col min="4" max="4" width="16.7109375" customWidth="1"/>
    <col min="5" max="5" width="40" customWidth="1"/>
    <col min="6" max="6" width="10.85546875" customWidth="1"/>
    <col min="10" max="10" width="10.140625" bestFit="1" customWidth="1"/>
    <col min="11" max="11" width="12.7109375" bestFit="1" customWidth="1"/>
    <col min="12" max="12" width="15.5703125" bestFit="1" customWidth="1"/>
    <col min="13" max="13" width="38.85546875" bestFit="1" customWidth="1"/>
  </cols>
  <sheetData>
    <row r="2" spans="2:13" ht="18" thickBot="1" x14ac:dyDescent="0.35">
      <c r="B2" s="37" t="s">
        <v>91</v>
      </c>
      <c r="C2" s="37"/>
      <c r="D2" s="37"/>
      <c r="E2" s="37"/>
      <c r="J2" s="63" t="s">
        <v>101</v>
      </c>
      <c r="K2" s="63"/>
      <c r="L2" s="63"/>
      <c r="M2" s="63"/>
    </row>
    <row r="3" spans="2:13" ht="16.5" thickTop="1" thickBot="1" x14ac:dyDescent="0.3"/>
    <row r="4" spans="2:13" ht="16.5" thickBot="1" x14ac:dyDescent="0.3">
      <c r="B4" s="14" t="s">
        <v>86</v>
      </c>
      <c r="C4" s="15" t="s">
        <v>10</v>
      </c>
      <c r="D4" s="15" t="s">
        <v>11</v>
      </c>
      <c r="E4" s="16" t="s">
        <v>87</v>
      </c>
      <c r="J4" s="14" t="s">
        <v>86</v>
      </c>
      <c r="K4" s="15" t="s">
        <v>10</v>
      </c>
      <c r="L4" s="15" t="s">
        <v>11</v>
      </c>
      <c r="M4" s="16" t="s">
        <v>87</v>
      </c>
    </row>
    <row r="5" spans="2:13" x14ac:dyDescent="0.25">
      <c r="B5" s="11" t="s">
        <v>20</v>
      </c>
      <c r="C5" s="52">
        <v>50</v>
      </c>
      <c r="D5" s="52">
        <v>45</v>
      </c>
      <c r="E5" s="13" t="str">
        <f>IF(D5&gt;=C5,CONCATENATE("Target Achieved by ",B5, ", Total Sales: ",D5), "Target Not Achieved, "&amp;(C5-D5)&amp;" Sales Short")</f>
        <v>Target Not Achieved, 5 Sales Short</v>
      </c>
      <c r="J5" s="11" t="s">
        <v>20</v>
      </c>
      <c r="K5" s="52">
        <v>50</v>
      </c>
      <c r="L5" s="52">
        <v>45</v>
      </c>
      <c r="M5" s="13" t="str">
        <f>IF(L5&gt;=K5,CONCATENATE("Target Achieved by ",J5, ", Total Sales: ",L5), "Target Not Achieved, "&amp;(K5-L5)&amp;" Sales Short")</f>
        <v>Target Not Achieved, 5 Sales Short</v>
      </c>
    </row>
    <row r="6" spans="2:13" x14ac:dyDescent="0.25">
      <c r="B6" s="6" t="s">
        <v>21</v>
      </c>
      <c r="C6" s="1">
        <v>45</v>
      </c>
      <c r="D6" s="1">
        <v>55</v>
      </c>
      <c r="E6" s="7" t="str">
        <f t="shared" ref="E6:E10" si="0">IF(D6&gt;=C6,CONCATENATE("Target Achieved by ",B6, ", Total Sales: ",D6),"Target Not Achieved, "&amp;(C6-D6)&amp;" Sales Short")</f>
        <v>Target Achieved by Teresa, Total Sales: 55</v>
      </c>
      <c r="J6" s="6" t="s">
        <v>21</v>
      </c>
      <c r="K6" s="1">
        <v>45</v>
      </c>
      <c r="L6" s="1">
        <v>55</v>
      </c>
      <c r="M6" s="7" t="str">
        <f t="shared" ref="M6:M10" si="1">IF(L6&gt;=K6,CONCATENATE("Target Achieved by ",J6, ", Total Sales: ",L6),"Target Not Achieved, "&amp;(K6-L6)&amp;" Sales Short")</f>
        <v>Target Achieved by Teresa, Total Sales: 55</v>
      </c>
    </row>
    <row r="7" spans="2:13" x14ac:dyDescent="0.25">
      <c r="B7" s="6" t="s">
        <v>62</v>
      </c>
      <c r="C7" s="1">
        <v>50</v>
      </c>
      <c r="D7" s="1">
        <v>60</v>
      </c>
      <c r="E7" s="7" t="str">
        <f t="shared" si="0"/>
        <v>Target Achieved by John, Total Sales: 60</v>
      </c>
      <c r="J7" s="6" t="s">
        <v>62</v>
      </c>
      <c r="K7" s="1">
        <v>50</v>
      </c>
      <c r="L7" s="1">
        <v>60</v>
      </c>
      <c r="M7" s="7" t="str">
        <f t="shared" si="1"/>
        <v>Target Achieved by John, Total Sales: 60</v>
      </c>
    </row>
    <row r="8" spans="2:13" x14ac:dyDescent="0.25">
      <c r="B8" s="6" t="s">
        <v>88</v>
      </c>
      <c r="C8" s="1">
        <v>40</v>
      </c>
      <c r="D8" s="1">
        <v>45</v>
      </c>
      <c r="E8" s="7" t="str">
        <f t="shared" si="0"/>
        <v>Target Achieved by Aigaile, Total Sales: 45</v>
      </c>
      <c r="J8" s="6" t="s">
        <v>88</v>
      </c>
      <c r="K8" s="1">
        <v>40</v>
      </c>
      <c r="L8" s="1">
        <v>45</v>
      </c>
      <c r="M8" s="7" t="str">
        <f t="shared" si="1"/>
        <v>Target Achieved by Aigaile, Total Sales: 45</v>
      </c>
    </row>
    <row r="9" spans="2:13" x14ac:dyDescent="0.25">
      <c r="B9" s="6" t="s">
        <v>89</v>
      </c>
      <c r="C9" s="1">
        <v>55</v>
      </c>
      <c r="D9" s="1">
        <v>45</v>
      </c>
      <c r="E9" s="7" t="str">
        <f t="shared" si="0"/>
        <v>Target Not Achieved, 10 Sales Short</v>
      </c>
      <c r="J9" s="6" t="s">
        <v>89</v>
      </c>
      <c r="K9" s="1">
        <v>55</v>
      </c>
      <c r="L9" s="1">
        <v>45</v>
      </c>
      <c r="M9" s="7" t="str">
        <f t="shared" si="1"/>
        <v>Target Not Achieved, 10 Sales Short</v>
      </c>
    </row>
    <row r="10" spans="2:13" ht="15.75" thickBot="1" x14ac:dyDescent="0.3">
      <c r="B10" s="8" t="s">
        <v>90</v>
      </c>
      <c r="C10" s="35">
        <v>70</v>
      </c>
      <c r="D10" s="35">
        <v>80</v>
      </c>
      <c r="E10" s="10" t="str">
        <f t="shared" si="0"/>
        <v>Target Achieved by Lucy, Total Sales: 80</v>
      </c>
      <c r="J10" s="8" t="s">
        <v>90</v>
      </c>
      <c r="K10" s="35">
        <v>70</v>
      </c>
      <c r="L10" s="35">
        <v>80</v>
      </c>
      <c r="M10" s="10" t="str">
        <f t="shared" si="1"/>
        <v>Target Achieved by Lucy, Total Sales: 80</v>
      </c>
    </row>
  </sheetData>
  <mergeCells count="2">
    <mergeCell ref="B2:E2"/>
    <mergeCell ref="J2:M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B507-D8C7-48FB-A695-1CAC46F60FA8}">
  <dimension ref="B2:N9"/>
  <sheetViews>
    <sheetView showGridLines="0" tabSelected="1" workbookViewId="0">
      <selection activeCell="M16" sqref="M16"/>
    </sheetView>
  </sheetViews>
  <sheetFormatPr defaultRowHeight="15" x14ac:dyDescent="0.25"/>
  <cols>
    <col min="1" max="1" width="2.85546875" customWidth="1"/>
    <col min="2" max="2" width="16.28515625" customWidth="1"/>
    <col min="3" max="3" width="19.140625" customWidth="1"/>
    <col min="4" max="4" width="10.42578125" customWidth="1"/>
    <col min="5" max="5" width="17.42578125" customWidth="1"/>
    <col min="6" max="6" width="11.5703125" customWidth="1"/>
    <col min="11" max="11" width="15.28515625" bestFit="1" customWidth="1"/>
    <col min="12" max="12" width="17.7109375" bestFit="1" customWidth="1"/>
    <col min="13" max="13" width="9.7109375" bestFit="1" customWidth="1"/>
    <col min="14" max="14" width="8.28515625" bestFit="1" customWidth="1"/>
  </cols>
  <sheetData>
    <row r="2" spans="2:14" ht="18" thickBot="1" x14ac:dyDescent="0.35">
      <c r="B2" s="37" t="s">
        <v>100</v>
      </c>
      <c r="C2" s="37"/>
      <c r="D2" s="37"/>
      <c r="E2" s="37"/>
      <c r="K2" s="63" t="s">
        <v>101</v>
      </c>
      <c r="L2" s="63"/>
      <c r="M2" s="63"/>
      <c r="N2" s="63"/>
    </row>
    <row r="3" spans="2:14" ht="16.5" thickTop="1" thickBot="1" x14ac:dyDescent="0.3"/>
    <row r="4" spans="2:14" ht="16.5" thickBot="1" x14ac:dyDescent="0.3">
      <c r="B4" s="14" t="s">
        <v>93</v>
      </c>
      <c r="C4" s="15" t="s">
        <v>92</v>
      </c>
      <c r="D4" s="15" t="s">
        <v>94</v>
      </c>
      <c r="E4" s="16" t="s">
        <v>12</v>
      </c>
      <c r="K4" s="14" t="s">
        <v>93</v>
      </c>
      <c r="L4" s="15" t="s">
        <v>92</v>
      </c>
      <c r="M4" s="15" t="s">
        <v>94</v>
      </c>
      <c r="N4" s="16" t="s">
        <v>12</v>
      </c>
    </row>
    <row r="5" spans="2:14" x14ac:dyDescent="0.25">
      <c r="B5" s="11" t="s">
        <v>95</v>
      </c>
      <c r="C5" s="60">
        <v>44403</v>
      </c>
      <c r="D5" s="61">
        <v>44408</v>
      </c>
      <c r="E5" s="62" t="str">
        <f>IF(C5&lt;=DATE(2021,7,31),"In Time","Delayed")</f>
        <v>In Time</v>
      </c>
      <c r="K5" s="11" t="s">
        <v>95</v>
      </c>
      <c r="L5" s="60">
        <v>44403</v>
      </c>
      <c r="M5" s="61">
        <v>44408</v>
      </c>
      <c r="N5" s="62" t="str">
        <f>IF(L5&lt;=DATE(2021,7,31),"In Time","Delayed")</f>
        <v>In Time</v>
      </c>
    </row>
    <row r="6" spans="2:14" x14ac:dyDescent="0.25">
      <c r="B6" s="6" t="s">
        <v>96</v>
      </c>
      <c r="C6" s="34">
        <v>44408</v>
      </c>
      <c r="D6" s="56"/>
      <c r="E6" s="57" t="str">
        <f t="shared" ref="E6:E9" si="0">IF(C6&lt;=DATE(2021,7,31),"In Time","Delayed")</f>
        <v>In Time</v>
      </c>
      <c r="K6" s="6" t="s">
        <v>96</v>
      </c>
      <c r="L6" s="34">
        <v>44408</v>
      </c>
      <c r="M6" s="56"/>
      <c r="N6" s="57" t="str">
        <f t="shared" ref="N6:N9" si="1">IF(L6&lt;=DATE(2021,7,31),"In Time","Delayed")</f>
        <v>In Time</v>
      </c>
    </row>
    <row r="7" spans="2:14" x14ac:dyDescent="0.25">
      <c r="B7" s="6" t="s">
        <v>97</v>
      </c>
      <c r="C7" s="34">
        <v>44412</v>
      </c>
      <c r="D7" s="56"/>
      <c r="E7" s="57" t="str">
        <f t="shared" si="0"/>
        <v>Delayed</v>
      </c>
      <c r="K7" s="6" t="s">
        <v>97</v>
      </c>
      <c r="L7" s="34">
        <v>44412</v>
      </c>
      <c r="M7" s="56"/>
      <c r="N7" s="57" t="str">
        <f t="shared" si="1"/>
        <v>Delayed</v>
      </c>
    </row>
    <row r="8" spans="2:14" x14ac:dyDescent="0.25">
      <c r="B8" s="6" t="s">
        <v>98</v>
      </c>
      <c r="C8" s="34">
        <v>44393</v>
      </c>
      <c r="D8" s="56"/>
      <c r="E8" s="57" t="str">
        <f t="shared" si="0"/>
        <v>In Time</v>
      </c>
      <c r="K8" s="6" t="s">
        <v>98</v>
      </c>
      <c r="L8" s="34">
        <v>44393</v>
      </c>
      <c r="M8" s="56"/>
      <c r="N8" s="57" t="str">
        <f t="shared" si="1"/>
        <v>In Time</v>
      </c>
    </row>
    <row r="9" spans="2:14" ht="15.75" thickBot="1" x14ac:dyDescent="0.3">
      <c r="B9" s="8" t="s">
        <v>99</v>
      </c>
      <c r="C9" s="36">
        <v>44409</v>
      </c>
      <c r="D9" s="58"/>
      <c r="E9" s="59" t="str">
        <f t="shared" si="0"/>
        <v>Delayed</v>
      </c>
      <c r="K9" s="8" t="s">
        <v>99</v>
      </c>
      <c r="L9" s="36">
        <v>44409</v>
      </c>
      <c r="M9" s="58"/>
      <c r="N9" s="59" t="str">
        <f t="shared" si="1"/>
        <v>Delayed</v>
      </c>
    </row>
  </sheetData>
  <mergeCells count="4">
    <mergeCell ref="D5:D9"/>
    <mergeCell ref="B2:E2"/>
    <mergeCell ref="K2:N2"/>
    <mergeCell ref="M5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IF</vt:lpstr>
      <vt:lpstr>IF with Calculation</vt:lpstr>
      <vt:lpstr>Nested IF</vt:lpstr>
      <vt:lpstr>IF-AND,OR,NOT</vt:lpstr>
      <vt:lpstr>IF-Logical Functions</vt:lpstr>
      <vt:lpstr>IF with ISERROR</vt:lpstr>
      <vt:lpstr>IF with Concatenate-Ampersand</vt:lpstr>
      <vt:lpstr>IF with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Nehad Ulfat</dc:creator>
  <cp:lastModifiedBy>Nehad Ulfat</cp:lastModifiedBy>
  <dcterms:created xsi:type="dcterms:W3CDTF">2021-08-04T09:02:33Z</dcterms:created>
  <dcterms:modified xsi:type="dcterms:W3CDTF">2021-08-05T06:42:25Z</dcterms:modified>
</cp:coreProperties>
</file>