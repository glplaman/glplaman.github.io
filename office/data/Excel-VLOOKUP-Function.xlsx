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1FFCC2E1-4DB6-47D8-85A4-0DCDE89E12F0}" xr6:coauthVersionLast="47" xr6:coauthVersionMax="47" xr10:uidLastSave="{00000000-0000-0000-0000-000000000000}"/>
  <bookViews>
    <workbookView xWindow="-108" yWindow="-108" windowWidth="23256" windowHeight="12456" firstSheet="8" activeTab="15" xr2:uid="{00000000-000D-0000-FFFF-FFFF00000000}"/>
  </bookViews>
  <sheets>
    <sheet name="Overview" sheetId="1" r:id="rId1"/>
    <sheet name="Basic Use" sheetId="2" r:id="rId2"/>
    <sheet name="Max. Value" sheetId="5" r:id="rId3"/>
    <sheet name="Max. n Values" sheetId="4" r:id="rId4"/>
    <sheet name="Approx Match" sheetId="3" r:id="rId5"/>
    <sheet name="Multiple Lookup" sheetId="6" r:id="rId6"/>
    <sheet name="Multiple Criteria CHOOSE" sheetId="7" r:id="rId7"/>
    <sheet name="Multiple Criteria MATCH" sheetId="8" r:id="rId8"/>
    <sheet name="Jan" sheetId="13" r:id="rId9"/>
    <sheet name="Feb" sheetId="9" r:id="rId10"/>
    <sheet name="Mar" sheetId="10" r:id="rId11"/>
    <sheet name="Apr" sheetId="11" r:id="rId12"/>
    <sheet name="Lookup Sheet List" sheetId="12" r:id="rId13"/>
    <sheet name="VLOOKUP-INDIRECT" sheetId="14" r:id="rId14"/>
    <sheet name="Left VLOOKUP" sheetId="15" r:id="rId15"/>
    <sheet name="Limitation" sheetId="16" r:id="rId16"/>
  </sheets>
  <definedNames>
    <definedName name="Lookup_Sheet_List">'Lookup Sheet List'!$B$3:$B$6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16" l="1"/>
  <c r="G5" i="15"/>
  <c r="D5" i="14" a="1"/>
  <c r="D6" i="14" a="1"/>
  <c r="D11" i="14" a="1"/>
  <c r="D7" i="14" a="1"/>
  <c r="D15" i="14" a="1"/>
  <c r="D10" i="14" a="1"/>
  <c r="D14" i="14" a="1"/>
  <c r="D12" i="14" a="1"/>
  <c r="D16" i="14" a="1"/>
  <c r="D13" i="14" a="1"/>
  <c r="D17" i="14" a="1"/>
  <c r="D18" i="14" a="1"/>
  <c r="D8" i="14" a="1"/>
  <c r="D9" i="14" a="1"/>
  <c r="C5" i="14" a="1"/>
  <c r="C16" i="14" a="1"/>
  <c r="C14" i="14" a="1"/>
  <c r="C12" i="14" a="1"/>
  <c r="C10" i="14" a="1"/>
  <c r="C8" i="14" a="1"/>
  <c r="C6" i="14" a="1"/>
  <c r="C18" i="14" a="1"/>
  <c r="C17" i="14" a="1"/>
  <c r="C15" i="14" a="1"/>
  <c r="C13" i="14" a="1"/>
  <c r="C11" i="14" a="1"/>
  <c r="C9" i="14" a="1"/>
  <c r="C7" i="14" a="1"/>
  <c r="D5" i="14" l="1"/>
  <c r="D9" i="14"/>
  <c r="D8" i="14"/>
  <c r="D18" i="14"/>
  <c r="D17" i="14"/>
  <c r="D13" i="14"/>
  <c r="D16" i="14"/>
  <c r="D12" i="14"/>
  <c r="D14" i="14"/>
  <c r="D10" i="14"/>
  <c r="D15" i="14"/>
  <c r="D7" i="14"/>
  <c r="D11" i="14"/>
  <c r="D6" i="14"/>
  <c r="C5" i="14"/>
  <c r="C7" i="14"/>
  <c r="C9" i="14"/>
  <c r="C11" i="14"/>
  <c r="C13" i="14"/>
  <c r="C15" i="14"/>
  <c r="C17" i="14"/>
  <c r="C18" i="14"/>
  <c r="C6" i="14"/>
  <c r="C8" i="14"/>
  <c r="C10" i="14"/>
  <c r="C12" i="14"/>
  <c r="C14" i="14"/>
  <c r="C16" i="14"/>
  <c r="C18" i="8" l="1"/>
  <c r="B6" i="8"/>
  <c r="B7" i="8"/>
  <c r="B8" i="8"/>
  <c r="B9" i="8"/>
  <c r="B10" i="8"/>
  <c r="B11" i="8"/>
  <c r="B12" i="8"/>
  <c r="B13" i="8"/>
  <c r="B5" i="8"/>
  <c r="C18" i="7" a="1"/>
  <c r="C18" i="7" s="1"/>
  <c r="G5" i="6" a="1"/>
  <c r="G5" i="6" s="1"/>
  <c r="G5" i="3"/>
  <c r="F5" i="4" a="1"/>
  <c r="F5" i="4" s="1"/>
  <c r="F5" i="5"/>
  <c r="G5" i="2"/>
  <c r="G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<sst xmlns="http://schemas.openxmlformats.org/spreadsheetml/2006/main" count="480" uniqueCount="104">
  <si>
    <t>Richard Hockley</t>
  </si>
  <si>
    <t>Natasha Austin</t>
  </si>
  <si>
    <t>Shane Lee</t>
  </si>
  <si>
    <t>Alfred Moyes</t>
  </si>
  <si>
    <t>Gregory Simpson</t>
  </si>
  <si>
    <t>Usman Malik</t>
  </si>
  <si>
    <t>Christina Georgino</t>
  </si>
  <si>
    <t>Jonathon North</t>
  </si>
  <si>
    <t>Mark Stevenson</t>
  </si>
  <si>
    <t>Jack Wilfred</t>
  </si>
  <si>
    <t>Mathew Rilee</t>
  </si>
  <si>
    <t>Ricky Ben</t>
  </si>
  <si>
    <t>Benjamin Stokes</t>
  </si>
  <si>
    <t>Angela Mills</t>
  </si>
  <si>
    <t>Jennifer Stephanie</t>
  </si>
  <si>
    <t>Looks for a value in the leftmost column of a table, and then returns a value in the same row from the column you specify.</t>
  </si>
  <si>
    <t>=VLOOKUP(lookup_value,table_array,col_index_num,[range_lookup])</t>
  </si>
  <si>
    <t>Employee Name</t>
  </si>
  <si>
    <t>Starting Date</t>
  </si>
  <si>
    <t>Salary</t>
  </si>
  <si>
    <t>Job Record</t>
  </si>
  <si>
    <t>Formula</t>
  </si>
  <si>
    <t>Output</t>
  </si>
  <si>
    <t>Explanation</t>
  </si>
  <si>
    <t>Employee Name=</t>
  </si>
  <si>
    <t>Salary=</t>
  </si>
  <si>
    <t>column of table B9:D13 (column B), then returns the value</t>
  </si>
  <si>
    <t>from the 3rd column of the same row, the salary of</t>
  </si>
  <si>
    <t>Shane Lee, $22000.00</t>
  </si>
  <si>
    <t>row 1</t>
  </si>
  <si>
    <t>row 3</t>
  </si>
  <si>
    <t>row 2</t>
  </si>
  <si>
    <t>row 4</t>
  </si>
  <si>
    <t>row 5</t>
  </si>
  <si>
    <t>column 1</t>
  </si>
  <si>
    <t>column 2</t>
  </si>
  <si>
    <t>column 3</t>
  </si>
  <si>
    <t>Employee ID</t>
  </si>
  <si>
    <r>
      <t>=VLOOKUP(</t>
    </r>
    <r>
      <rPr>
        <sz val="11"/>
        <color rgb="FFFF0000"/>
        <rFont val="Calibri"/>
        <family val="2"/>
        <scheme val="minor"/>
      </rPr>
      <t>G10</t>
    </r>
    <r>
      <rPr>
        <sz val="11"/>
        <color rgb="FF000000"/>
        <rFont val="Calibri"/>
        <family val="2"/>
        <scheme val="minor"/>
      </rPr>
      <t>,</t>
    </r>
    <r>
      <rPr>
        <sz val="11"/>
        <color rgb="FF0070C0"/>
        <rFont val="Calibri"/>
        <family val="2"/>
        <scheme val="minor"/>
      </rPr>
      <t>B9:D13</t>
    </r>
    <r>
      <rPr>
        <sz val="11"/>
        <color rgb="FF000000"/>
        <rFont val="Calibri"/>
        <family val="2"/>
        <scheme val="minor"/>
      </rPr>
      <t>,</t>
    </r>
    <r>
      <rPr>
        <sz val="11"/>
        <color theme="9" tint="-0.499984740745262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,</t>
    </r>
    <r>
      <rPr>
        <sz val="11"/>
        <color rgb="FF7030A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>)</t>
    </r>
  </si>
  <si>
    <t>Overview of VLOOKUP Function</t>
  </si>
  <si>
    <t>Looks for the content of G10 (Shane Lee) in the leftmost</t>
  </si>
  <si>
    <t>Use of VLOOKUP for Dummies</t>
  </si>
  <si>
    <t>Lookup Value</t>
  </si>
  <si>
    <t>Finding Maximum Value Holder</t>
  </si>
  <si>
    <t>Max. ID No. Holder</t>
  </si>
  <si>
    <t>Finding Holders of Top n Values</t>
  </si>
  <si>
    <t>Top 5 ID Holders</t>
  </si>
  <si>
    <t>Finding Approximate Match</t>
  </si>
  <si>
    <t>ID</t>
  </si>
  <si>
    <t>Name</t>
  </si>
  <si>
    <t>Matching Multiple Lookup Values</t>
  </si>
  <si>
    <t>Brand</t>
  </si>
  <si>
    <t>Model</t>
  </si>
  <si>
    <t>Chipset</t>
  </si>
  <si>
    <t>RAM</t>
  </si>
  <si>
    <t>Price</t>
  </si>
  <si>
    <t>Samsung</t>
  </si>
  <si>
    <t>A52</t>
  </si>
  <si>
    <t>Snapdragon</t>
  </si>
  <si>
    <t>6 GB</t>
  </si>
  <si>
    <t>Apple</t>
  </si>
  <si>
    <t>iPhone 13</t>
  </si>
  <si>
    <t>Bionic</t>
  </si>
  <si>
    <t>Xiaomi</t>
  </si>
  <si>
    <t>11T Pro</t>
  </si>
  <si>
    <t>S21 Ultra</t>
  </si>
  <si>
    <t>12 GB</t>
  </si>
  <si>
    <t>iPhone 13 Pro</t>
  </si>
  <si>
    <t>8 GB</t>
  </si>
  <si>
    <t>Mix 4</t>
  </si>
  <si>
    <t>Galaxy A12</t>
  </si>
  <si>
    <t>Helio</t>
  </si>
  <si>
    <t>2 GB</t>
  </si>
  <si>
    <t>iPhone 12</t>
  </si>
  <si>
    <t>4 GB</t>
  </si>
  <si>
    <t>Mi 11X</t>
  </si>
  <si>
    <t>Criteria</t>
  </si>
  <si>
    <t>Use of VLOOKUP-CHOOSE Formula to Match Multiple Criteria</t>
  </si>
  <si>
    <t>Use of VLOOKUP-MATCH Formula to Match Multiple Criteria</t>
  </si>
  <si>
    <t>Helper Column</t>
  </si>
  <si>
    <t>January Data</t>
  </si>
  <si>
    <t>Order no.</t>
  </si>
  <si>
    <t>Item</t>
  </si>
  <si>
    <t>Amount</t>
  </si>
  <si>
    <t>Oranges</t>
  </si>
  <si>
    <t>Bananas</t>
  </si>
  <si>
    <t>Pears</t>
  </si>
  <si>
    <t>Lemons</t>
  </si>
  <si>
    <t>Apples</t>
  </si>
  <si>
    <t>February Data</t>
  </si>
  <si>
    <t>March Data</t>
  </si>
  <si>
    <t>April Data</t>
  </si>
  <si>
    <t>Lookup sheets</t>
  </si>
  <si>
    <t>Jan</t>
  </si>
  <si>
    <t>Feb</t>
  </si>
  <si>
    <t>Mar</t>
  </si>
  <si>
    <t>Apr</t>
  </si>
  <si>
    <t xml:space="preserve"> </t>
  </si>
  <si>
    <t>VLOOKUP-INDIRECT Formula to Lookup Across Sheets</t>
  </si>
  <si>
    <t>VLOOKUP from Left Columns</t>
  </si>
  <si>
    <t>Limitation of VLOOKUP</t>
  </si>
  <si>
    <t>Practice Here!</t>
  </si>
  <si>
    <t>Pracice Here!</t>
  </si>
  <si>
    <t>Practice Section!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</si>
</sst>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6" formatCode="_(&quot;$&quot;* #,##0_);_(&quot;$&quot;* \(#,##0\);_(&quot;$&quot;* &quot;-&quot;??_);_(@_)"/>
    <numFmt numFmtId="167" formatCode="&quot;$&quot;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3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204"/>
    </font>
    <font>
      <i/>
      <sz val="13"/>
      <name val="Calibri"/>
      <family val="2"/>
      <scheme val="minor"/>
    </font>
    <font>
      <sz val="1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11" applyNumberFormat="0" applyFill="0" applyAlignment="0" applyProtection="0"/>
  </cellStyleXfs>
  <cellXfs count="1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Font="1"/>
    <xf numFmtId="0" fontId="8" fillId="0" borderId="0" xfId="0" applyFont="1"/>
    <xf numFmtId="0" fontId="9" fillId="0" borderId="0" xfId="0" applyFont="1"/>
    <xf numFmtId="0" fontId="8" fillId="2" borderId="0" xfId="0" quotePrefix="1" applyFont="1" applyFill="1"/>
    <xf numFmtId="0" fontId="8" fillId="2" borderId="0" xfId="0" applyFont="1" applyFill="1"/>
    <xf numFmtId="0" fontId="9" fillId="2" borderId="0" xfId="0" applyFont="1" applyFill="1"/>
    <xf numFmtId="0" fontId="10" fillId="0" borderId="0" xfId="0" applyFont="1" applyAlignment="1">
      <alignment horizontal="center"/>
    </xf>
    <xf numFmtId="0" fontId="12" fillId="0" borderId="0" xfId="0" applyFont="1"/>
    <xf numFmtId="0" fontId="12" fillId="0" borderId="8" xfId="0" applyFont="1" applyBorder="1"/>
    <xf numFmtId="15" fontId="12" fillId="0" borderId="2" xfId="0" applyNumberFormat="1" applyFont="1" applyBorder="1"/>
    <xf numFmtId="164" fontId="12" fillId="0" borderId="9" xfId="0" applyNumberFormat="1" applyFont="1" applyBorder="1"/>
    <xf numFmtId="0" fontId="0" fillId="0" borderId="4" xfId="0" applyFont="1" applyBorder="1" applyAlignment="1">
      <alignment horizontal="right"/>
    </xf>
    <xf numFmtId="164" fontId="0" fillId="0" borderId="6" xfId="0" applyNumberFormat="1" applyFont="1" applyBorder="1"/>
    <xf numFmtId="0" fontId="12" fillId="3" borderId="8" xfId="0" applyFont="1" applyFill="1" applyBorder="1"/>
    <xf numFmtId="15" fontId="12" fillId="3" borderId="2" xfId="0" applyNumberFormat="1" applyFont="1" applyFill="1" applyBorder="1"/>
    <xf numFmtId="164" fontId="12" fillId="3" borderId="9" xfId="0" applyNumberFormat="1" applyFont="1" applyFill="1" applyBorder="1"/>
    <xf numFmtId="0" fontId="12" fillId="0" borderId="5" xfId="0" applyFont="1" applyBorder="1"/>
    <xf numFmtId="15" fontId="12" fillId="0" borderId="10" xfId="0" applyNumberFormat="1" applyFont="1" applyBorder="1"/>
    <xf numFmtId="164" fontId="12" fillId="0" borderId="6" xfId="0" applyNumberFormat="1" applyFont="1" applyBorder="1"/>
    <xf numFmtId="0" fontId="17" fillId="0" borderId="11" xfId="2" applyFont="1" applyAlignment="1">
      <alignment horizontal="center"/>
    </xf>
    <xf numFmtId="0" fontId="11" fillId="6" borderId="3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164" fontId="11" fillId="5" borderId="3" xfId="0" applyNumberFormat="1" applyFont="1" applyFill="1" applyBorder="1" applyAlignment="1">
      <alignment horizontal="right"/>
    </xf>
    <xf numFmtId="0" fontId="11" fillId="5" borderId="5" xfId="0" applyFont="1" applyFill="1" applyBorder="1" applyAlignment="1">
      <alignment horizontal="right"/>
    </xf>
    <xf numFmtId="0" fontId="11" fillId="5" borderId="2" xfId="0" applyFont="1" applyFill="1" applyBorder="1" applyAlignment="1">
      <alignment horizontal="center"/>
    </xf>
    <xf numFmtId="0" fontId="12" fillId="0" borderId="2" xfId="0" applyFont="1" applyBorder="1"/>
    <xf numFmtId="0" fontId="12" fillId="0" borderId="0" xfId="0" quotePrefix="1" applyFont="1" applyBorder="1"/>
    <xf numFmtId="164" fontId="0" fillId="0" borderId="0" xfId="0" applyNumberFormat="1" applyFont="1" applyBorder="1" applyAlignment="1">
      <alignment horizontal="center"/>
    </xf>
    <xf numFmtId="0" fontId="0" fillId="0" borderId="0" xfId="0" applyFont="1" applyBorder="1"/>
    <xf numFmtId="0" fontId="16" fillId="0" borderId="0" xfId="0" applyFont="1" applyBorder="1"/>
    <xf numFmtId="0" fontId="12" fillId="0" borderId="12" xfId="0" quotePrefix="1" applyFont="1" applyBorder="1"/>
    <xf numFmtId="0" fontId="16" fillId="0" borderId="13" xfId="0" applyFont="1" applyBorder="1"/>
    <xf numFmtId="0" fontId="12" fillId="0" borderId="12" xfId="0" applyFont="1" applyBorder="1"/>
    <xf numFmtId="0" fontId="12" fillId="0" borderId="14" xfId="0" applyFont="1" applyBorder="1"/>
    <xf numFmtId="0" fontId="0" fillId="0" borderId="1" xfId="0" applyFont="1" applyBorder="1"/>
    <xf numFmtId="0" fontId="16" fillId="0" borderId="1" xfId="0" applyFont="1" applyBorder="1"/>
    <xf numFmtId="0" fontId="16" fillId="0" borderId="15" xfId="0" applyFont="1" applyBorder="1"/>
    <xf numFmtId="0" fontId="18" fillId="0" borderId="0" xfId="0" applyFont="1" applyBorder="1"/>
    <xf numFmtId="0" fontId="18" fillId="0" borderId="1" xfId="0" applyFont="1" applyBorder="1"/>
    <xf numFmtId="0" fontId="6" fillId="0" borderId="0" xfId="0" applyFont="1"/>
    <xf numFmtId="0" fontId="11" fillId="5" borderId="7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14" fontId="0" fillId="0" borderId="0" xfId="0" applyNumberFormat="1" applyFont="1"/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3" borderId="2" xfId="0" applyFont="1" applyFill="1" applyBorder="1"/>
    <xf numFmtId="166" fontId="12" fillId="3" borderId="2" xfId="1" applyNumberFormat="1" applyFont="1" applyFill="1" applyBorder="1"/>
    <xf numFmtId="0" fontId="11" fillId="5" borderId="3" xfId="0" applyFont="1" applyFill="1" applyBorder="1" applyAlignment="1">
      <alignment horizontal="center"/>
    </xf>
    <xf numFmtId="0" fontId="0" fillId="0" borderId="8" xfId="0" applyFont="1" applyBorder="1"/>
    <xf numFmtId="166" fontId="12" fillId="0" borderId="9" xfId="1" applyNumberFormat="1" applyFont="1" applyBorder="1"/>
    <xf numFmtId="166" fontId="12" fillId="4" borderId="9" xfId="1" applyNumberFormat="1" applyFont="1" applyFill="1" applyBorder="1"/>
    <xf numFmtId="0" fontId="0" fillId="3" borderId="8" xfId="0" applyFont="1" applyFill="1" applyBorder="1"/>
    <xf numFmtId="0" fontId="0" fillId="0" borderId="5" xfId="0" applyFont="1" applyBorder="1"/>
    <xf numFmtId="0" fontId="12" fillId="0" borderId="10" xfId="0" applyFont="1" applyBorder="1"/>
    <xf numFmtId="166" fontId="12" fillId="0" borderId="6" xfId="1" applyNumberFormat="1" applyFont="1" applyBorder="1"/>
    <xf numFmtId="0" fontId="0" fillId="0" borderId="8" xfId="0" applyFont="1" applyFill="1" applyBorder="1"/>
    <xf numFmtId="0" fontId="12" fillId="0" borderId="2" xfId="0" applyFont="1" applyFill="1" applyBorder="1"/>
    <xf numFmtId="166" fontId="12" fillId="0" borderId="9" xfId="1" applyNumberFormat="1" applyFont="1" applyFill="1" applyBorder="1"/>
    <xf numFmtId="0" fontId="11" fillId="5" borderId="16" xfId="0" applyFont="1" applyFill="1" applyBorder="1" applyAlignment="1">
      <alignment horizontal="center"/>
    </xf>
    <xf numFmtId="164" fontId="11" fillId="5" borderId="16" xfId="0" applyNumberFormat="1" applyFont="1" applyFill="1" applyBorder="1" applyAlignment="1">
      <alignment horizontal="right"/>
    </xf>
    <xf numFmtId="0" fontId="1" fillId="0" borderId="17" xfId="0" applyFont="1" applyBorder="1"/>
    <xf numFmtId="0" fontId="6" fillId="3" borderId="8" xfId="0" applyFont="1" applyFill="1" applyBorder="1"/>
    <xf numFmtId="0" fontId="11" fillId="5" borderId="18" xfId="0" applyFont="1" applyFill="1" applyBorder="1" applyAlignment="1">
      <alignment horizontal="center"/>
    </xf>
    <xf numFmtId="0" fontId="0" fillId="0" borderId="19" xfId="0" applyFont="1" applyBorder="1"/>
    <xf numFmtId="0" fontId="0" fillId="0" borderId="17" xfId="0" applyFont="1" applyBorder="1"/>
    <xf numFmtId="166" fontId="12" fillId="0" borderId="6" xfId="1" applyNumberFormat="1" applyFont="1" applyFill="1" applyBorder="1"/>
    <xf numFmtId="0" fontId="12" fillId="4" borderId="8" xfId="0" applyFont="1" applyFill="1" applyBorder="1"/>
    <xf numFmtId="164" fontId="12" fillId="4" borderId="9" xfId="0" applyNumberFormat="1" applyFont="1" applyFill="1" applyBorder="1"/>
    <xf numFmtId="0" fontId="0" fillId="0" borderId="4" xfId="0" applyFont="1" applyBorder="1"/>
    <xf numFmtId="0" fontId="11" fillId="5" borderId="3" xfId="0" applyFont="1" applyFill="1" applyBorder="1" applyAlignment="1">
      <alignment horizontal="right"/>
    </xf>
    <xf numFmtId="0" fontId="12" fillId="4" borderId="2" xfId="0" applyFont="1" applyFill="1" applyBorder="1"/>
    <xf numFmtId="164" fontId="12" fillId="0" borderId="9" xfId="0" applyNumberFormat="1" applyFont="1" applyFill="1" applyBorder="1"/>
    <xf numFmtId="0" fontId="0" fillId="0" borderId="7" xfId="0" applyFont="1" applyBorder="1" applyAlignment="1">
      <alignment horizontal="right"/>
    </xf>
    <xf numFmtId="0" fontId="1" fillId="0" borderId="4" xfId="0" applyFont="1" applyBorder="1"/>
    <xf numFmtId="164" fontId="0" fillId="0" borderId="10" xfId="0" applyNumberFormat="1" applyFont="1" applyBorder="1"/>
    <xf numFmtId="0" fontId="1" fillId="0" borderId="6" xfId="0" applyFont="1" applyBorder="1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44" fontId="0" fillId="0" borderId="9" xfId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44" fontId="0" fillId="0" borderId="6" xfId="1" applyFont="1" applyBorder="1" applyAlignment="1">
      <alignment vertical="center"/>
    </xf>
    <xf numFmtId="0" fontId="19" fillId="7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5" borderId="20" xfId="0" applyFont="1" applyFill="1" applyBorder="1" applyAlignment="1">
      <alignment horizontal="center"/>
    </xf>
    <xf numFmtId="44" fontId="18" fillId="0" borderId="21" xfId="1" applyFont="1" applyBorder="1" applyAlignment="1">
      <alignment horizontal="center" vertical="center"/>
    </xf>
    <xf numFmtId="44" fontId="12" fillId="3" borderId="9" xfId="1" applyFont="1" applyFill="1" applyBorder="1"/>
    <xf numFmtId="0" fontId="12" fillId="0" borderId="8" xfId="0" applyFont="1" applyFill="1" applyBorder="1"/>
    <xf numFmtId="44" fontId="12" fillId="0" borderId="9" xfId="1" applyFont="1" applyFill="1" applyBorder="1"/>
    <xf numFmtId="0" fontId="0" fillId="0" borderId="8" xfId="0" applyFill="1" applyBorder="1" applyAlignment="1">
      <alignment vertical="center"/>
    </xf>
    <xf numFmtId="44" fontId="20" fillId="0" borderId="22" xfId="1" applyFont="1" applyFill="1" applyBorder="1" applyAlignment="1">
      <alignment horizontal="center"/>
    </xf>
    <xf numFmtId="0" fontId="0" fillId="3" borderId="8" xfId="0" applyFill="1" applyBorder="1" applyAlignment="1">
      <alignment vertical="center"/>
    </xf>
    <xf numFmtId="0" fontId="17" fillId="0" borderId="11" xfId="2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7" fontId="0" fillId="0" borderId="0" xfId="0" applyNumberFormat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1" fillId="0" borderId="2" xfId="0" applyFont="1" applyBorder="1"/>
    <xf numFmtId="0" fontId="21" fillId="0" borderId="10" xfId="0" applyFont="1" applyBorder="1"/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44" fontId="21" fillId="0" borderId="9" xfId="1" applyFont="1" applyBorder="1"/>
    <xf numFmtId="44" fontId="21" fillId="0" borderId="6" xfId="1" applyFont="1" applyBorder="1"/>
    <xf numFmtId="0" fontId="0" fillId="0" borderId="6" xfId="0" applyNumberFormat="1" applyFont="1" applyBorder="1"/>
    <xf numFmtId="0" fontId="6" fillId="0" borderId="8" xfId="0" applyFont="1" applyFill="1" applyBorder="1"/>
    <xf numFmtId="0" fontId="1" fillId="0" borderId="19" xfId="0" applyFont="1" applyBorder="1"/>
    <xf numFmtId="164" fontId="11" fillId="5" borderId="16" xfId="0" applyNumberFormat="1" applyFont="1" applyFill="1" applyBorder="1" applyAlignment="1">
      <alignment horizontal="center"/>
    </xf>
    <xf numFmtId="164" fontId="11" fillId="5" borderId="19" xfId="0" applyNumberFormat="1" applyFont="1" applyFill="1" applyBorder="1" applyAlignment="1">
      <alignment horizontal="center"/>
    </xf>
    <xf numFmtId="166" fontId="12" fillId="0" borderId="9" xfId="1" applyNumberFormat="1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166" fontId="1" fillId="0" borderId="17" xfId="1" applyNumberFormat="1" applyFont="1" applyBorder="1"/>
    <xf numFmtId="0" fontId="22" fillId="0" borderId="11" xfId="2" applyFont="1" applyAlignment="1">
      <alignment horizontal="center"/>
    </xf>
    <xf numFmtId="15" fontId="12" fillId="0" borderId="2" xfId="0" applyNumberFormat="1" applyFont="1" applyFill="1" applyBorder="1"/>
    <xf numFmtId="0" fontId="23" fillId="0" borderId="11" xfId="2" applyFont="1" applyAlignment="1">
      <alignment horizontal="center"/>
    </xf>
    <xf numFmtId="0" fontId="0" fillId="0" borderId="5" xfId="0" applyFont="1" applyFill="1" applyBorder="1"/>
    <xf numFmtId="0" fontId="12" fillId="0" borderId="10" xfId="0" applyFont="1" applyFill="1" applyBorder="1"/>
    <xf numFmtId="0" fontId="0" fillId="0" borderId="0" xfId="0" applyFont="1" applyFill="1"/>
    <xf numFmtId="0" fontId="12" fillId="0" borderId="5" xfId="0" applyFont="1" applyFill="1" applyBorder="1"/>
    <xf numFmtId="15" fontId="12" fillId="0" borderId="10" xfId="0" applyNumberFormat="1" applyFont="1" applyFill="1" applyBorder="1"/>
    <xf numFmtId="164" fontId="12" fillId="0" borderId="6" xfId="0" applyNumberFormat="1" applyFont="1" applyFill="1" applyBorder="1"/>
    <xf numFmtId="0" fontId="22" fillId="0" borderId="11" xfId="2" applyFont="1" applyAlignment="1">
      <alignment horizontal="center" vertical="center"/>
    </xf>
    <xf numFmtId="0" fontId="0" fillId="0" borderId="2" xfId="0" applyFill="1" applyBorder="1" applyAlignment="1">
      <alignment vertical="center"/>
    </xf>
    <xf numFmtId="44" fontId="0" fillId="0" borderId="9" xfId="1" applyFont="1" applyFill="1" applyBorder="1" applyAlignment="1">
      <alignment vertical="center"/>
    </xf>
  </cellXfs>
  <cellStyles count="3">
    <cellStyle name="Currency" xfId="1" builtinId="4"/>
    <cellStyle name="Heading 2" xfId="2" builtinId="1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8"/>
  <sheetViews>
    <sheetView showGridLines="0" zoomScale="80" zoomScaleNormal="80" workbookViewId="0">
      <selection activeCell="F8" sqref="F8:G9"/>
    </sheetView>
  </sheetViews>
  <sheetFormatPr defaultColWidth="9.109375" defaultRowHeight="14.4" x14ac:dyDescent="0.3"/>
  <cols>
    <col min="1" max="1" width="5.6640625" style="3" bestFit="1" customWidth="1"/>
    <col min="2" max="2" width="17.6640625" style="3" customWidth="1"/>
    <col min="3" max="4" width="14.5546875" style="3" customWidth="1"/>
    <col min="5" max="5" width="3.109375" style="3" customWidth="1"/>
    <col min="6" max="6" width="18.44140625" style="3" customWidth="1"/>
    <col min="7" max="7" width="14.44140625" style="3" customWidth="1"/>
    <col min="8" max="8" width="9.109375" style="3"/>
    <col min="9" max="9" width="8.33203125" style="3" customWidth="1"/>
    <col min="10" max="10" width="9.109375" style="3"/>
    <col min="11" max="11" width="73.33203125" style="3" customWidth="1"/>
    <col min="12" max="16384" width="9.109375" style="3"/>
  </cols>
  <sheetData>
    <row r="2" spans="1:9" ht="18" customHeight="1" thickBot="1" x14ac:dyDescent="0.4">
      <c r="B2" s="22" t="s">
        <v>39</v>
      </c>
      <c r="C2" s="22"/>
      <c r="D2" s="22"/>
      <c r="E2" s="22"/>
      <c r="F2" s="22"/>
      <c r="G2" s="22"/>
      <c r="H2" s="22"/>
      <c r="I2" s="22"/>
    </row>
    <row r="3" spans="1:9" ht="15" thickTop="1" x14ac:dyDescent="0.3"/>
    <row r="4" spans="1:9" ht="15.6" x14ac:dyDescent="0.3">
      <c r="B4" s="4" t="s">
        <v>15</v>
      </c>
      <c r="C4" s="4"/>
      <c r="D4" s="4"/>
      <c r="E4" s="4"/>
      <c r="F4" s="4"/>
      <c r="G4" s="4"/>
      <c r="H4" s="4"/>
      <c r="I4" s="5"/>
    </row>
    <row r="5" spans="1:9" ht="15.6" x14ac:dyDescent="0.3">
      <c r="B5" s="6" t="s">
        <v>16</v>
      </c>
      <c r="C5" s="7"/>
      <c r="D5" s="7"/>
      <c r="E5" s="7"/>
      <c r="F5" s="7"/>
      <c r="G5" s="7"/>
      <c r="H5" s="7"/>
      <c r="I5" s="8"/>
    </row>
    <row r="7" spans="1:9" ht="15" thickBot="1" x14ac:dyDescent="0.35">
      <c r="B7" s="9" t="s">
        <v>34</v>
      </c>
      <c r="C7" s="9" t="s">
        <v>35</v>
      </c>
      <c r="D7" s="9" t="s">
        <v>36</v>
      </c>
    </row>
    <row r="8" spans="1:9" ht="15.6" x14ac:dyDescent="0.3">
      <c r="B8" s="23" t="s">
        <v>17</v>
      </c>
      <c r="C8" s="24" t="s">
        <v>20</v>
      </c>
      <c r="D8" s="25"/>
      <c r="F8" s="29" t="s">
        <v>24</v>
      </c>
      <c r="G8" s="14" t="s">
        <v>2</v>
      </c>
    </row>
    <row r="9" spans="1:9" ht="16.2" thickBot="1" x14ac:dyDescent="0.35">
      <c r="A9" s="10"/>
      <c r="B9" s="26"/>
      <c r="C9" s="27" t="s">
        <v>18</v>
      </c>
      <c r="D9" s="28" t="s">
        <v>19</v>
      </c>
      <c r="F9" s="30" t="s">
        <v>25</v>
      </c>
      <c r="G9" s="15">
        <f>VLOOKUP(G8,B10:D14,3,0)</f>
        <v>22000</v>
      </c>
    </row>
    <row r="10" spans="1:9" x14ac:dyDescent="0.3">
      <c r="A10" s="9" t="s">
        <v>29</v>
      </c>
      <c r="B10" s="11" t="s">
        <v>0</v>
      </c>
      <c r="C10" s="12">
        <v>44336</v>
      </c>
      <c r="D10" s="13">
        <v>25000</v>
      </c>
    </row>
    <row r="11" spans="1:9" x14ac:dyDescent="0.3">
      <c r="A11" s="9" t="s">
        <v>31</v>
      </c>
      <c r="B11" s="11" t="s">
        <v>1</v>
      </c>
      <c r="C11" s="12">
        <v>44343</v>
      </c>
      <c r="D11" s="13">
        <v>28000</v>
      </c>
    </row>
    <row r="12" spans="1:9" x14ac:dyDescent="0.3">
      <c r="A12" s="9" t="s">
        <v>30</v>
      </c>
      <c r="B12" s="16" t="s">
        <v>2</v>
      </c>
      <c r="C12" s="17">
        <v>44350</v>
      </c>
      <c r="D12" s="18">
        <v>22000</v>
      </c>
    </row>
    <row r="13" spans="1:9" x14ac:dyDescent="0.3">
      <c r="A13" s="9" t="s">
        <v>32</v>
      </c>
      <c r="B13" s="11" t="s">
        <v>3</v>
      </c>
      <c r="C13" s="12">
        <v>44357</v>
      </c>
      <c r="D13" s="13">
        <v>25000</v>
      </c>
    </row>
    <row r="14" spans="1:9" ht="15" thickBot="1" x14ac:dyDescent="0.35">
      <c r="A14" s="9" t="s">
        <v>33</v>
      </c>
      <c r="B14" s="19" t="s">
        <v>4</v>
      </c>
      <c r="C14" s="20">
        <v>44364</v>
      </c>
      <c r="D14" s="21">
        <v>30000</v>
      </c>
    </row>
    <row r="15" spans="1:9" x14ac:dyDescent="0.3">
      <c r="A15" s="10"/>
      <c r="B15" s="10"/>
    </row>
    <row r="16" spans="1:9" x14ac:dyDescent="0.3">
      <c r="A16" s="10"/>
      <c r="B16" s="10"/>
    </row>
    <row r="17" spans="1:14" x14ac:dyDescent="0.3">
      <c r="A17" s="10"/>
      <c r="B17" s="10"/>
    </row>
    <row r="18" spans="1:14" x14ac:dyDescent="0.3">
      <c r="A18" s="10"/>
      <c r="B18" s="10"/>
    </row>
    <row r="19" spans="1:14" ht="15.6" x14ac:dyDescent="0.3">
      <c r="A19" s="10"/>
      <c r="B19" s="31" t="s">
        <v>21</v>
      </c>
      <c r="C19" s="31"/>
      <c r="D19" s="31" t="s">
        <v>22</v>
      </c>
      <c r="E19" s="31"/>
      <c r="F19" s="31" t="s">
        <v>23</v>
      </c>
      <c r="G19" s="31"/>
      <c r="H19" s="31"/>
      <c r="I19" s="31"/>
    </row>
    <row r="20" spans="1:14" x14ac:dyDescent="0.3">
      <c r="A20" s="10"/>
      <c r="B20" s="37" t="s">
        <v>38</v>
      </c>
      <c r="C20" s="33"/>
      <c r="D20" s="34">
        <v>22000</v>
      </c>
      <c r="E20" s="35"/>
      <c r="F20" s="44" t="s">
        <v>40</v>
      </c>
      <c r="G20" s="36"/>
      <c r="H20" s="36"/>
      <c r="I20" s="38"/>
    </row>
    <row r="21" spans="1:14" x14ac:dyDescent="0.3">
      <c r="A21" s="10"/>
      <c r="B21" s="39"/>
      <c r="C21" s="35"/>
      <c r="D21" s="35"/>
      <c r="E21" s="35"/>
      <c r="F21" s="44" t="s">
        <v>26</v>
      </c>
      <c r="G21" s="36"/>
      <c r="H21" s="36"/>
      <c r="I21" s="38"/>
      <c r="N21" s="46"/>
    </row>
    <row r="22" spans="1:14" x14ac:dyDescent="0.3">
      <c r="A22" s="10"/>
      <c r="B22" s="39"/>
      <c r="C22" s="35"/>
      <c r="D22" s="35"/>
      <c r="E22" s="35"/>
      <c r="F22" s="44" t="s">
        <v>27</v>
      </c>
      <c r="G22" s="36"/>
      <c r="H22" s="36"/>
      <c r="I22" s="38"/>
    </row>
    <row r="23" spans="1:14" x14ac:dyDescent="0.3">
      <c r="A23" s="10"/>
      <c r="B23" s="40"/>
      <c r="C23" s="41"/>
      <c r="D23" s="41"/>
      <c r="E23" s="41"/>
      <c r="F23" s="45" t="s">
        <v>28</v>
      </c>
      <c r="G23" s="42"/>
      <c r="H23" s="42"/>
      <c r="I23" s="43"/>
    </row>
    <row r="24" spans="1:14" ht="160.80000000000001" customHeight="1" x14ac:dyDescent="0.3">
      <c r="A24" s="10"/>
      <c r="B24" s="10"/>
    </row>
    <row r="25" spans="1:14" x14ac:dyDescent="0.3">
      <c r="A25" s="10"/>
      <c r="B25" s="10"/>
    </row>
    <row r="26" spans="1:14" x14ac:dyDescent="0.3">
      <c r="A26" s="10"/>
      <c r="B26" s="10"/>
    </row>
    <row r="27" spans="1:14" x14ac:dyDescent="0.3">
      <c r="A27" s="10"/>
      <c r="B27" s="10"/>
      <c r="C27" s="10"/>
      <c r="D27" s="10"/>
    </row>
    <row r="28" spans="1:14" x14ac:dyDescent="0.3">
      <c r="A28" s="10"/>
      <c r="B28" s="10"/>
      <c r="C28" s="10"/>
      <c r="D28" s="10"/>
    </row>
  </sheetData>
  <mergeCells count="6">
    <mergeCell ref="C8:D8"/>
    <mergeCell ref="B8:B9"/>
    <mergeCell ref="B2:I2"/>
    <mergeCell ref="B19:C19"/>
    <mergeCell ref="D19:E19"/>
    <mergeCell ref="F19:I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1"/>
  <sheetViews>
    <sheetView showGridLines="0" zoomScale="80" zoomScaleNormal="80" workbookViewId="0">
      <selection activeCell="H11" sqref="H11"/>
    </sheetView>
  </sheetViews>
  <sheetFormatPr defaultRowHeight="14.4" x14ac:dyDescent="0.3"/>
  <cols>
    <col min="1" max="1" width="3.21875" style="3" customWidth="1"/>
    <col min="2" max="2" width="18" style="3" customWidth="1"/>
    <col min="3" max="3" width="15.88671875" style="3" customWidth="1"/>
    <col min="4" max="4" width="14.33203125" style="3" customWidth="1"/>
    <col min="5" max="5" width="1.88671875" style="3" customWidth="1"/>
    <col min="6" max="6" width="14" style="3" bestFit="1" customWidth="1"/>
    <col min="7" max="7" width="12" style="3" customWidth="1"/>
    <col min="8" max="8" width="89.33203125" style="3" customWidth="1"/>
    <col min="9" max="9" width="18" style="3" customWidth="1"/>
    <col min="10" max="10" width="15.88671875" style="3" customWidth="1"/>
    <col min="11" max="11" width="14.33203125" style="3" customWidth="1"/>
    <col min="12" max="12" width="1.88671875" style="3" customWidth="1"/>
    <col min="13" max="13" width="14" style="3" bestFit="1" customWidth="1"/>
    <col min="14" max="14" width="12" style="3" customWidth="1"/>
    <col min="15" max="16384" width="8.88671875" style="3"/>
  </cols>
  <sheetData>
    <row r="2" spans="2:14" ht="18" thickBot="1" x14ac:dyDescent="0.4">
      <c r="B2" s="22" t="s">
        <v>41</v>
      </c>
      <c r="C2" s="22"/>
      <c r="D2" s="22"/>
      <c r="I2" s="126" t="s">
        <v>101</v>
      </c>
      <c r="J2" s="22"/>
      <c r="K2" s="22"/>
    </row>
    <row r="3" spans="2:14" ht="15.6" thickTop="1" thickBot="1" x14ac:dyDescent="0.35"/>
    <row r="4" spans="2:14" ht="15.6" x14ac:dyDescent="0.3">
      <c r="B4" s="23" t="s">
        <v>17</v>
      </c>
      <c r="C4" s="24" t="s">
        <v>20</v>
      </c>
      <c r="D4" s="25"/>
      <c r="F4" s="29" t="s">
        <v>42</v>
      </c>
      <c r="G4" s="14" t="s">
        <v>2</v>
      </c>
      <c r="I4" s="23" t="s">
        <v>17</v>
      </c>
      <c r="J4" s="24" t="s">
        <v>20</v>
      </c>
      <c r="K4" s="25"/>
      <c r="M4" s="29" t="s">
        <v>42</v>
      </c>
      <c r="N4" s="14"/>
    </row>
    <row r="5" spans="2:14" ht="16.2" thickBot="1" x14ac:dyDescent="0.35">
      <c r="B5" s="26"/>
      <c r="C5" s="27" t="s">
        <v>18</v>
      </c>
      <c r="D5" s="28" t="s">
        <v>19</v>
      </c>
      <c r="F5" s="30" t="s">
        <v>19</v>
      </c>
      <c r="G5" s="15">
        <f>VLOOKUP("shane Lee",B6:D10,3,FALSE)</f>
        <v>22000</v>
      </c>
      <c r="I5" s="26"/>
      <c r="J5" s="27" t="s">
        <v>18</v>
      </c>
      <c r="K5" s="28" t="s">
        <v>19</v>
      </c>
      <c r="M5" s="30" t="s">
        <v>19</v>
      </c>
      <c r="N5" s="15"/>
    </row>
    <row r="6" spans="2:14" x14ac:dyDescent="0.3">
      <c r="B6" s="11" t="s">
        <v>0</v>
      </c>
      <c r="C6" s="12">
        <v>44336</v>
      </c>
      <c r="D6" s="13">
        <v>25000</v>
      </c>
      <c r="E6" s="49"/>
      <c r="I6" s="11" t="s">
        <v>0</v>
      </c>
      <c r="J6" s="12">
        <v>44336</v>
      </c>
      <c r="K6" s="13">
        <v>25000</v>
      </c>
      <c r="L6" s="49"/>
    </row>
    <row r="7" spans="2:14" x14ac:dyDescent="0.3">
      <c r="B7" s="11" t="s">
        <v>1</v>
      </c>
      <c r="C7" s="12">
        <v>44343</v>
      </c>
      <c r="D7" s="13">
        <v>28000</v>
      </c>
      <c r="E7" s="49"/>
      <c r="I7" s="11" t="s">
        <v>1</v>
      </c>
      <c r="J7" s="12">
        <v>44343</v>
      </c>
      <c r="K7" s="13">
        <v>28000</v>
      </c>
      <c r="L7" s="49"/>
    </row>
    <row r="8" spans="2:14" x14ac:dyDescent="0.3">
      <c r="B8" s="16" t="s">
        <v>2</v>
      </c>
      <c r="C8" s="17">
        <v>44350</v>
      </c>
      <c r="D8" s="18">
        <v>22000</v>
      </c>
      <c r="I8" s="101" t="s">
        <v>2</v>
      </c>
      <c r="J8" s="127">
        <v>44350</v>
      </c>
      <c r="K8" s="79">
        <v>22000</v>
      </c>
    </row>
    <row r="9" spans="2:14" x14ac:dyDescent="0.3">
      <c r="B9" s="11" t="s">
        <v>3</v>
      </c>
      <c r="C9" s="12">
        <v>44357</v>
      </c>
      <c r="D9" s="13">
        <v>25000</v>
      </c>
      <c r="I9" s="11" t="s">
        <v>3</v>
      </c>
      <c r="J9" s="12">
        <v>44357</v>
      </c>
      <c r="K9" s="13">
        <v>25000</v>
      </c>
    </row>
    <row r="10" spans="2:14" ht="15" thickBot="1" x14ac:dyDescent="0.35">
      <c r="B10" s="19" t="s">
        <v>4</v>
      </c>
      <c r="C10" s="20">
        <v>44364</v>
      </c>
      <c r="D10" s="21">
        <v>30000</v>
      </c>
      <c r="I10" s="19" t="s">
        <v>4</v>
      </c>
      <c r="J10" s="20">
        <v>44364</v>
      </c>
      <c r="K10" s="21">
        <v>30000</v>
      </c>
    </row>
    <row r="11" spans="2:14" ht="196.2" customHeight="1" x14ac:dyDescent="0.3"/>
  </sheetData>
  <mergeCells count="6">
    <mergeCell ref="B4:B5"/>
    <mergeCell ref="C4:D4"/>
    <mergeCell ref="B2:D2"/>
    <mergeCell ref="I2:K2"/>
    <mergeCell ref="I4:I5"/>
    <mergeCell ref="J4:K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showGridLines="0" zoomScale="80" zoomScaleNormal="80" workbookViewId="0">
      <selection activeCell="N23" sqref="N23"/>
    </sheetView>
  </sheetViews>
  <sheetFormatPr defaultColWidth="9.109375" defaultRowHeight="13.8" x14ac:dyDescent="0.25"/>
  <cols>
    <col min="1" max="1" width="3.44140625" style="1" customWidth="1"/>
    <col min="2" max="2" width="17" style="1" customWidth="1"/>
    <col min="3" max="3" width="24.5546875" style="1" customWidth="1"/>
    <col min="4" max="4" width="18.33203125" style="1" customWidth="1"/>
    <col min="5" max="5" width="5" style="1" customWidth="1"/>
    <col min="6" max="6" width="19" style="1" bestFit="1" customWidth="1"/>
    <col min="7" max="7" width="14.33203125" style="1" customWidth="1"/>
    <col min="8" max="8" width="17" style="1" customWidth="1"/>
    <col min="9" max="9" width="24.5546875" style="1" customWidth="1"/>
    <col min="10" max="10" width="18.33203125" style="1" customWidth="1"/>
    <col min="11" max="11" width="5" style="1" customWidth="1"/>
    <col min="12" max="12" width="19" style="1" bestFit="1" customWidth="1"/>
    <col min="13" max="16384" width="9.109375" style="1"/>
  </cols>
  <sheetData>
    <row r="1" spans="1:12" ht="17.399999999999999" x14ac:dyDescent="0.3">
      <c r="A1" s="50"/>
      <c r="B1" s="50"/>
      <c r="C1" s="50"/>
      <c r="D1" s="50"/>
      <c r="E1" s="50"/>
      <c r="F1" s="2"/>
      <c r="H1" s="50"/>
      <c r="I1" s="50"/>
      <c r="J1" s="50"/>
      <c r="K1" s="50"/>
      <c r="L1" s="2"/>
    </row>
    <row r="2" spans="1:12" ht="18.600000000000001" thickBot="1" x14ac:dyDescent="0.4">
      <c r="A2" s="50"/>
      <c r="B2" s="22" t="s">
        <v>43</v>
      </c>
      <c r="C2" s="22"/>
      <c r="D2" s="22"/>
      <c r="E2" s="50"/>
      <c r="F2" s="2"/>
      <c r="H2" s="126" t="s">
        <v>102</v>
      </c>
      <c r="I2" s="22"/>
      <c r="J2" s="22"/>
      <c r="K2" s="50"/>
      <c r="L2" s="2"/>
    </row>
    <row r="3" spans="1:12" ht="15" thickTop="1" thickBot="1" x14ac:dyDescent="0.3"/>
    <row r="4" spans="1:12" ht="15.6" x14ac:dyDescent="0.3">
      <c r="B4" s="55" t="s">
        <v>37</v>
      </c>
      <c r="C4" s="47" t="s">
        <v>17</v>
      </c>
      <c r="D4" s="48" t="s">
        <v>19</v>
      </c>
      <c r="F4" s="67" t="s">
        <v>44</v>
      </c>
      <c r="H4" s="55" t="s">
        <v>37</v>
      </c>
      <c r="I4" s="47" t="s">
        <v>17</v>
      </c>
      <c r="J4" s="48" t="s">
        <v>19</v>
      </c>
      <c r="L4" s="67" t="s">
        <v>44</v>
      </c>
    </row>
    <row r="5" spans="1:12" ht="15" thickBot="1" x14ac:dyDescent="0.35">
      <c r="B5" s="56">
        <v>121</v>
      </c>
      <c r="C5" s="32" t="s">
        <v>0</v>
      </c>
      <c r="D5" s="57">
        <v>25000</v>
      </c>
      <c r="F5" s="68" t="str">
        <f>VLOOKUP(MAX(B5:B21),B5:D21,2,0)</f>
        <v>Angela Mills</v>
      </c>
      <c r="H5" s="56">
        <v>121</v>
      </c>
      <c r="I5" s="32" t="s">
        <v>0</v>
      </c>
      <c r="J5" s="57">
        <v>25000</v>
      </c>
      <c r="L5" s="68"/>
    </row>
    <row r="6" spans="1:12" ht="14.4" x14ac:dyDescent="0.3">
      <c r="B6" s="56">
        <v>135</v>
      </c>
      <c r="C6" s="32" t="s">
        <v>1</v>
      </c>
      <c r="D6" s="57">
        <v>28000</v>
      </c>
      <c r="H6" s="56">
        <v>135</v>
      </c>
      <c r="I6" s="32" t="s">
        <v>1</v>
      </c>
      <c r="J6" s="57">
        <v>28000</v>
      </c>
    </row>
    <row r="7" spans="1:12" ht="14.4" x14ac:dyDescent="0.3">
      <c r="B7" s="56">
        <v>169</v>
      </c>
      <c r="C7" s="32" t="s">
        <v>2</v>
      </c>
      <c r="D7" s="58">
        <v>22000</v>
      </c>
      <c r="H7" s="56">
        <v>169</v>
      </c>
      <c r="I7" s="32" t="s">
        <v>2</v>
      </c>
      <c r="J7" s="58">
        <v>22000</v>
      </c>
    </row>
    <row r="8" spans="1:12" ht="14.4" x14ac:dyDescent="0.3">
      <c r="B8" s="56">
        <v>177</v>
      </c>
      <c r="C8" s="32" t="s">
        <v>3</v>
      </c>
      <c r="D8" s="57">
        <v>25000</v>
      </c>
      <c r="H8" s="56">
        <v>177</v>
      </c>
      <c r="I8" s="32" t="s">
        <v>3</v>
      </c>
      <c r="J8" s="57">
        <v>25000</v>
      </c>
    </row>
    <row r="9" spans="1:12" ht="14.4" x14ac:dyDescent="0.3">
      <c r="B9" s="56">
        <v>182</v>
      </c>
      <c r="C9" s="32" t="s">
        <v>4</v>
      </c>
      <c r="D9" s="57">
        <v>30000</v>
      </c>
      <c r="H9" s="56">
        <v>182</v>
      </c>
      <c r="I9" s="32" t="s">
        <v>4</v>
      </c>
      <c r="J9" s="57">
        <v>30000</v>
      </c>
    </row>
    <row r="10" spans="1:12" ht="14.4" x14ac:dyDescent="0.3">
      <c r="B10" s="56">
        <v>143</v>
      </c>
      <c r="C10" s="32" t="s">
        <v>3</v>
      </c>
      <c r="D10" s="57">
        <v>32000</v>
      </c>
      <c r="H10" s="56">
        <v>143</v>
      </c>
      <c r="I10" s="32" t="s">
        <v>3</v>
      </c>
      <c r="J10" s="57">
        <v>32000</v>
      </c>
    </row>
    <row r="11" spans="1:12" ht="14.4" x14ac:dyDescent="0.3">
      <c r="B11" s="63">
        <v>293</v>
      </c>
      <c r="C11" s="64" t="s">
        <v>5</v>
      </c>
      <c r="D11" s="65">
        <v>22200</v>
      </c>
      <c r="H11" s="63">
        <v>293</v>
      </c>
      <c r="I11" s="64" t="s">
        <v>5</v>
      </c>
      <c r="J11" s="65">
        <v>22200</v>
      </c>
    </row>
    <row r="12" spans="1:12" ht="14.4" x14ac:dyDescent="0.3">
      <c r="B12" s="63">
        <v>203</v>
      </c>
      <c r="C12" s="64" t="s">
        <v>6</v>
      </c>
      <c r="D12" s="65">
        <v>25000</v>
      </c>
      <c r="H12" s="63">
        <v>203</v>
      </c>
      <c r="I12" s="64" t="s">
        <v>6</v>
      </c>
      <c r="J12" s="65">
        <v>25000</v>
      </c>
    </row>
    <row r="13" spans="1:12" ht="14.4" x14ac:dyDescent="0.3">
      <c r="B13" s="63">
        <v>101</v>
      </c>
      <c r="C13" s="64" t="s">
        <v>10</v>
      </c>
      <c r="D13" s="65">
        <v>28000</v>
      </c>
      <c r="H13" s="63">
        <v>101</v>
      </c>
      <c r="I13" s="64" t="s">
        <v>10</v>
      </c>
      <c r="J13" s="65">
        <v>28000</v>
      </c>
    </row>
    <row r="14" spans="1:12" ht="14.4" x14ac:dyDescent="0.3">
      <c r="B14" s="63">
        <v>131</v>
      </c>
      <c r="C14" s="64" t="s">
        <v>7</v>
      </c>
      <c r="D14" s="65">
        <v>33000</v>
      </c>
      <c r="H14" s="63">
        <v>131</v>
      </c>
      <c r="I14" s="64" t="s">
        <v>7</v>
      </c>
      <c r="J14" s="65">
        <v>33000</v>
      </c>
    </row>
    <row r="15" spans="1:12" ht="14.4" x14ac:dyDescent="0.3">
      <c r="B15" s="63">
        <v>189</v>
      </c>
      <c r="C15" s="64" t="s">
        <v>8</v>
      </c>
      <c r="D15" s="65">
        <v>40000</v>
      </c>
      <c r="H15" s="63">
        <v>189</v>
      </c>
      <c r="I15" s="64" t="s">
        <v>8</v>
      </c>
      <c r="J15" s="65">
        <v>40000</v>
      </c>
    </row>
    <row r="16" spans="1:12" ht="14.4" x14ac:dyDescent="0.3">
      <c r="B16" s="63">
        <v>177</v>
      </c>
      <c r="C16" s="64" t="s">
        <v>9</v>
      </c>
      <c r="D16" s="65">
        <v>18000</v>
      </c>
      <c r="H16" s="63">
        <v>177</v>
      </c>
      <c r="I16" s="64" t="s">
        <v>9</v>
      </c>
      <c r="J16" s="65">
        <v>18000</v>
      </c>
    </row>
    <row r="17" spans="2:10" ht="14.4" x14ac:dyDescent="0.3">
      <c r="B17" s="63">
        <v>309</v>
      </c>
      <c r="C17" s="64" t="s">
        <v>10</v>
      </c>
      <c r="D17" s="65">
        <v>24000</v>
      </c>
      <c r="H17" s="63">
        <v>309</v>
      </c>
      <c r="I17" s="64" t="s">
        <v>10</v>
      </c>
      <c r="J17" s="65">
        <v>24000</v>
      </c>
    </row>
    <row r="18" spans="2:10" ht="14.4" x14ac:dyDescent="0.3">
      <c r="B18" s="63">
        <v>317</v>
      </c>
      <c r="C18" s="64" t="s">
        <v>11</v>
      </c>
      <c r="D18" s="65">
        <v>26000</v>
      </c>
      <c r="H18" s="63">
        <v>317</v>
      </c>
      <c r="I18" s="64" t="s">
        <v>11</v>
      </c>
      <c r="J18" s="65">
        <v>26000</v>
      </c>
    </row>
    <row r="19" spans="2:10" ht="14.4" x14ac:dyDescent="0.3">
      <c r="B19" s="63">
        <v>267</v>
      </c>
      <c r="C19" s="64" t="s">
        <v>12</v>
      </c>
      <c r="D19" s="65">
        <v>25000</v>
      </c>
      <c r="H19" s="63">
        <v>267</v>
      </c>
      <c r="I19" s="64" t="s">
        <v>12</v>
      </c>
      <c r="J19" s="65">
        <v>25000</v>
      </c>
    </row>
    <row r="20" spans="2:10" ht="14.4" x14ac:dyDescent="0.3">
      <c r="B20" s="69">
        <v>372</v>
      </c>
      <c r="C20" s="53" t="s">
        <v>13</v>
      </c>
      <c r="D20" s="65">
        <v>20000</v>
      </c>
      <c r="H20" s="119">
        <v>372</v>
      </c>
      <c r="I20" s="64" t="s">
        <v>13</v>
      </c>
      <c r="J20" s="65">
        <v>20000</v>
      </c>
    </row>
    <row r="21" spans="2:10" ht="15" thickBot="1" x14ac:dyDescent="0.35">
      <c r="B21" s="60">
        <v>240</v>
      </c>
      <c r="C21" s="61" t="s">
        <v>14</v>
      </c>
      <c r="D21" s="62">
        <v>30000</v>
      </c>
      <c r="H21" s="60">
        <v>240</v>
      </c>
      <c r="I21" s="61" t="s">
        <v>14</v>
      </c>
      <c r="J21" s="62">
        <v>30000</v>
      </c>
    </row>
    <row r="22" spans="2:10" ht="87.6" customHeight="1" x14ac:dyDescent="0.25"/>
  </sheetData>
  <mergeCells count="2">
    <mergeCell ref="B2:D2"/>
    <mergeCell ref="H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showGridLines="0" zoomScale="80" zoomScaleNormal="80" workbookViewId="0">
      <selection activeCell="N18" sqref="N18"/>
    </sheetView>
  </sheetViews>
  <sheetFormatPr defaultColWidth="9.109375" defaultRowHeight="14.4" x14ac:dyDescent="0.3"/>
  <cols>
    <col min="1" max="1" width="2.6640625" style="3" customWidth="1"/>
    <col min="2" max="2" width="17" style="3" customWidth="1"/>
    <col min="3" max="3" width="24.5546875" style="3" customWidth="1"/>
    <col min="4" max="4" width="16.33203125" style="3" customWidth="1"/>
    <col min="5" max="5" width="3.77734375" style="3" customWidth="1"/>
    <col min="6" max="6" width="16.77734375" style="3" bestFit="1" customWidth="1"/>
    <col min="7" max="7" width="61.44140625" style="3" customWidth="1"/>
    <col min="8" max="8" width="17" style="3" customWidth="1"/>
    <col min="9" max="9" width="24.5546875" style="3" customWidth="1"/>
    <col min="10" max="10" width="16.33203125" style="3" customWidth="1"/>
    <col min="11" max="11" width="3.77734375" style="3" customWidth="1"/>
    <col min="12" max="12" width="16.77734375" style="3" bestFit="1" customWidth="1"/>
    <col min="13" max="16384" width="9.109375" style="3"/>
  </cols>
  <sheetData>
    <row r="1" spans="1:12" ht="11.4" customHeight="1" x14ac:dyDescent="0.35">
      <c r="A1" s="51"/>
      <c r="B1" s="51"/>
      <c r="C1" s="51"/>
      <c r="D1" s="51"/>
      <c r="E1" s="51"/>
      <c r="F1" s="52"/>
      <c r="H1" s="51"/>
      <c r="I1" s="51"/>
      <c r="J1" s="51"/>
      <c r="K1" s="51"/>
      <c r="L1" s="52"/>
    </row>
    <row r="2" spans="1:12" ht="18.600000000000001" thickBot="1" x14ac:dyDescent="0.4">
      <c r="A2" s="51"/>
      <c r="B2" s="22" t="s">
        <v>45</v>
      </c>
      <c r="C2" s="22"/>
      <c r="D2" s="22"/>
      <c r="E2" s="51"/>
      <c r="F2" s="52"/>
      <c r="H2" s="126" t="s">
        <v>101</v>
      </c>
      <c r="I2" s="128"/>
      <c r="J2" s="128"/>
      <c r="K2" s="51"/>
      <c r="L2" s="52"/>
    </row>
    <row r="3" spans="1:12" ht="15.6" thickTop="1" thickBot="1" x14ac:dyDescent="0.35"/>
    <row r="4" spans="1:12" ht="15.6" x14ac:dyDescent="0.3">
      <c r="B4" s="55" t="s">
        <v>37</v>
      </c>
      <c r="C4" s="47" t="s">
        <v>17</v>
      </c>
      <c r="D4" s="48" t="s">
        <v>19</v>
      </c>
      <c r="F4" s="70" t="s">
        <v>46</v>
      </c>
      <c r="H4" s="55" t="s">
        <v>37</v>
      </c>
      <c r="I4" s="47" t="s">
        <v>17</v>
      </c>
      <c r="J4" s="48" t="s">
        <v>19</v>
      </c>
      <c r="L4" s="70" t="s">
        <v>46</v>
      </c>
    </row>
    <row r="5" spans="1:12" x14ac:dyDescent="0.3">
      <c r="B5" s="56">
        <v>121</v>
      </c>
      <c r="C5" s="32" t="s">
        <v>0</v>
      </c>
      <c r="D5" s="57">
        <v>25000</v>
      </c>
      <c r="F5" s="71" t="str" cm="1">
        <f t="array" ref="F5:F9">VLOOKUP(LARGE(B5:B21,ROW($A$1:$A$5)),B5:D21,2,0)</f>
        <v>Angela Mills</v>
      </c>
      <c r="H5" s="56">
        <v>121</v>
      </c>
      <c r="I5" s="32" t="s">
        <v>0</v>
      </c>
      <c r="J5" s="57">
        <v>25000</v>
      </c>
      <c r="L5" s="71"/>
    </row>
    <row r="6" spans="1:12" x14ac:dyDescent="0.3">
      <c r="B6" s="56">
        <v>135</v>
      </c>
      <c r="C6" s="32" t="s">
        <v>1</v>
      </c>
      <c r="D6" s="57">
        <v>28000</v>
      </c>
      <c r="F6" s="71" t="str">
        <v>Ricky Ben</v>
      </c>
      <c r="H6" s="56">
        <v>135</v>
      </c>
      <c r="I6" s="32" t="s">
        <v>1</v>
      </c>
      <c r="J6" s="57">
        <v>28000</v>
      </c>
      <c r="L6" s="71"/>
    </row>
    <row r="7" spans="1:12" x14ac:dyDescent="0.3">
      <c r="B7" s="56">
        <v>169</v>
      </c>
      <c r="C7" s="32" t="s">
        <v>2</v>
      </c>
      <c r="D7" s="58">
        <v>22000</v>
      </c>
      <c r="F7" s="71" t="str">
        <v>Mathew Rilee</v>
      </c>
      <c r="H7" s="56">
        <v>169</v>
      </c>
      <c r="I7" s="32" t="s">
        <v>2</v>
      </c>
      <c r="J7" s="58">
        <v>22000</v>
      </c>
      <c r="L7" s="71"/>
    </row>
    <row r="8" spans="1:12" x14ac:dyDescent="0.3">
      <c r="B8" s="56">
        <v>177</v>
      </c>
      <c r="C8" s="32" t="s">
        <v>3</v>
      </c>
      <c r="D8" s="57">
        <v>25000</v>
      </c>
      <c r="F8" s="71" t="str">
        <v>Usman Malik</v>
      </c>
      <c r="H8" s="56">
        <v>177</v>
      </c>
      <c r="I8" s="32" t="s">
        <v>3</v>
      </c>
      <c r="J8" s="57">
        <v>25000</v>
      </c>
      <c r="L8" s="71"/>
    </row>
    <row r="9" spans="1:12" ht="15" thickBot="1" x14ac:dyDescent="0.35">
      <c r="B9" s="56">
        <v>182</v>
      </c>
      <c r="C9" s="32" t="s">
        <v>4</v>
      </c>
      <c r="D9" s="57">
        <v>30000</v>
      </c>
      <c r="F9" s="72" t="str">
        <v>Benjamin Stokes</v>
      </c>
      <c r="H9" s="56">
        <v>182</v>
      </c>
      <c r="I9" s="32" t="s">
        <v>4</v>
      </c>
      <c r="J9" s="57">
        <v>30000</v>
      </c>
      <c r="L9" s="72"/>
    </row>
    <row r="10" spans="1:12" x14ac:dyDescent="0.3">
      <c r="B10" s="56">
        <v>143</v>
      </c>
      <c r="C10" s="32" t="s">
        <v>3</v>
      </c>
      <c r="D10" s="57">
        <v>32000</v>
      </c>
      <c r="H10" s="56">
        <v>143</v>
      </c>
      <c r="I10" s="32" t="s">
        <v>3</v>
      </c>
      <c r="J10" s="57">
        <v>32000</v>
      </c>
    </row>
    <row r="11" spans="1:12" x14ac:dyDescent="0.3">
      <c r="B11" s="59">
        <v>293</v>
      </c>
      <c r="C11" s="53" t="s">
        <v>5</v>
      </c>
      <c r="D11" s="65">
        <v>22200</v>
      </c>
      <c r="H11" s="63">
        <v>293</v>
      </c>
      <c r="I11" s="64" t="s">
        <v>5</v>
      </c>
      <c r="J11" s="65">
        <v>22200</v>
      </c>
    </row>
    <row r="12" spans="1:12" x14ac:dyDescent="0.3">
      <c r="B12" s="56">
        <v>203</v>
      </c>
      <c r="C12" s="32" t="s">
        <v>6</v>
      </c>
      <c r="D12" s="65">
        <v>25000</v>
      </c>
      <c r="H12" s="63">
        <v>203</v>
      </c>
      <c r="I12" s="64" t="s">
        <v>6</v>
      </c>
      <c r="J12" s="65">
        <v>25000</v>
      </c>
    </row>
    <row r="13" spans="1:12" x14ac:dyDescent="0.3">
      <c r="B13" s="56">
        <v>101</v>
      </c>
      <c r="C13" s="32" t="s">
        <v>10</v>
      </c>
      <c r="D13" s="65">
        <v>28000</v>
      </c>
      <c r="H13" s="63">
        <v>101</v>
      </c>
      <c r="I13" s="64" t="s">
        <v>10</v>
      </c>
      <c r="J13" s="65">
        <v>28000</v>
      </c>
    </row>
    <row r="14" spans="1:12" x14ac:dyDescent="0.3">
      <c r="B14" s="56">
        <v>131</v>
      </c>
      <c r="C14" s="32" t="s">
        <v>7</v>
      </c>
      <c r="D14" s="65">
        <v>33000</v>
      </c>
      <c r="H14" s="63">
        <v>131</v>
      </c>
      <c r="I14" s="64" t="s">
        <v>7</v>
      </c>
      <c r="J14" s="65">
        <v>33000</v>
      </c>
    </row>
    <row r="15" spans="1:12" x14ac:dyDescent="0.3">
      <c r="B15" s="56">
        <v>189</v>
      </c>
      <c r="C15" s="32" t="s">
        <v>8</v>
      </c>
      <c r="D15" s="65">
        <v>40000</v>
      </c>
      <c r="H15" s="63">
        <v>189</v>
      </c>
      <c r="I15" s="64" t="s">
        <v>8</v>
      </c>
      <c r="J15" s="65">
        <v>40000</v>
      </c>
    </row>
    <row r="16" spans="1:12" x14ac:dyDescent="0.3">
      <c r="B16" s="56">
        <v>177</v>
      </c>
      <c r="C16" s="32" t="s">
        <v>9</v>
      </c>
      <c r="D16" s="65">
        <v>18000</v>
      </c>
      <c r="H16" s="63">
        <v>177</v>
      </c>
      <c r="I16" s="64" t="s">
        <v>9</v>
      </c>
      <c r="J16" s="65">
        <v>18000</v>
      </c>
    </row>
    <row r="17" spans="2:10" x14ac:dyDescent="0.3">
      <c r="B17" s="59">
        <v>309</v>
      </c>
      <c r="C17" s="53" t="s">
        <v>10</v>
      </c>
      <c r="D17" s="65">
        <v>24000</v>
      </c>
      <c r="H17" s="63">
        <v>309</v>
      </c>
      <c r="I17" s="64" t="s">
        <v>10</v>
      </c>
      <c r="J17" s="65">
        <v>24000</v>
      </c>
    </row>
    <row r="18" spans="2:10" x14ac:dyDescent="0.3">
      <c r="B18" s="59">
        <v>317</v>
      </c>
      <c r="C18" s="53" t="s">
        <v>11</v>
      </c>
      <c r="D18" s="65">
        <v>26000</v>
      </c>
      <c r="H18" s="63">
        <v>317</v>
      </c>
      <c r="I18" s="64" t="s">
        <v>11</v>
      </c>
      <c r="J18" s="65">
        <v>26000</v>
      </c>
    </row>
    <row r="19" spans="2:10" x14ac:dyDescent="0.3">
      <c r="B19" s="59">
        <v>267</v>
      </c>
      <c r="C19" s="53" t="s">
        <v>12</v>
      </c>
      <c r="D19" s="65">
        <v>25000</v>
      </c>
      <c r="H19" s="63">
        <v>267</v>
      </c>
      <c r="I19" s="64" t="s">
        <v>12</v>
      </c>
      <c r="J19" s="65">
        <v>25000</v>
      </c>
    </row>
    <row r="20" spans="2:10" x14ac:dyDescent="0.3">
      <c r="B20" s="59">
        <v>372</v>
      </c>
      <c r="C20" s="53" t="s">
        <v>13</v>
      </c>
      <c r="D20" s="65">
        <v>20000</v>
      </c>
      <c r="H20" s="63">
        <v>372</v>
      </c>
      <c r="I20" s="64" t="s">
        <v>13</v>
      </c>
      <c r="J20" s="65">
        <v>20000</v>
      </c>
    </row>
    <row r="21" spans="2:10" ht="15" thickBot="1" x14ac:dyDescent="0.35">
      <c r="B21" s="60">
        <v>240</v>
      </c>
      <c r="C21" s="61" t="s">
        <v>14</v>
      </c>
      <c r="D21" s="73">
        <v>30000</v>
      </c>
      <c r="H21" s="129">
        <v>240</v>
      </c>
      <c r="I21" s="130" t="s">
        <v>14</v>
      </c>
      <c r="J21" s="73">
        <v>30000</v>
      </c>
    </row>
    <row r="22" spans="2:10" ht="172.8" customHeight="1" x14ac:dyDescent="0.3">
      <c r="H22" s="131"/>
      <c r="I22" s="131"/>
    </row>
  </sheetData>
  <mergeCells count="2">
    <mergeCell ref="B2:D2"/>
    <mergeCell ref="H2:J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"/>
  <sheetViews>
    <sheetView showGridLines="0" zoomScale="80" zoomScaleNormal="80" workbookViewId="0">
      <selection activeCell="H10" sqref="H10"/>
    </sheetView>
  </sheetViews>
  <sheetFormatPr defaultRowHeight="14.4" x14ac:dyDescent="0.3"/>
  <cols>
    <col min="1" max="1" width="3.21875" style="3" customWidth="1"/>
    <col min="2" max="2" width="18" style="3" customWidth="1"/>
    <col min="3" max="3" width="16.5546875" style="3" customWidth="1"/>
    <col min="4" max="4" width="14.33203125" style="3" customWidth="1"/>
    <col min="5" max="5" width="3.77734375" style="3" customWidth="1"/>
    <col min="6" max="6" width="6.44140625" style="3" bestFit="1" customWidth="1"/>
    <col min="7" max="7" width="15.6640625" style="3" customWidth="1"/>
    <col min="8" max="8" width="62.77734375" style="3" customWidth="1"/>
    <col min="9" max="9" width="18" style="3" customWidth="1"/>
    <col min="10" max="10" width="16.5546875" style="3" customWidth="1"/>
    <col min="11" max="11" width="14.33203125" style="3" customWidth="1"/>
    <col min="12" max="12" width="3.77734375" style="3" customWidth="1"/>
    <col min="13" max="13" width="6.44140625" style="3" bestFit="1" customWidth="1"/>
    <col min="14" max="14" width="15.6640625" style="3" customWidth="1"/>
    <col min="15" max="16384" width="8.88671875" style="3"/>
  </cols>
  <sheetData>
    <row r="1" spans="2:14" ht="10.8" customHeight="1" x14ac:dyDescent="0.3"/>
    <row r="2" spans="2:14" ht="18" thickBot="1" x14ac:dyDescent="0.4">
      <c r="B2" s="22" t="s">
        <v>47</v>
      </c>
      <c r="C2" s="22"/>
      <c r="D2" s="22"/>
      <c r="I2" s="126" t="s">
        <v>101</v>
      </c>
      <c r="J2" s="126"/>
      <c r="K2" s="126"/>
    </row>
    <row r="3" spans="2:14" ht="15.6" thickTop="1" thickBot="1" x14ac:dyDescent="0.35"/>
    <row r="4" spans="2:14" ht="15.6" x14ac:dyDescent="0.3">
      <c r="B4" s="55" t="s">
        <v>37</v>
      </c>
      <c r="C4" s="47" t="s">
        <v>17</v>
      </c>
      <c r="D4" s="48" t="s">
        <v>19</v>
      </c>
      <c r="F4" s="77" t="s">
        <v>48</v>
      </c>
      <c r="G4" s="76">
        <v>168</v>
      </c>
      <c r="I4" s="55" t="s">
        <v>37</v>
      </c>
      <c r="J4" s="47" t="s">
        <v>17</v>
      </c>
      <c r="K4" s="48" t="s">
        <v>19</v>
      </c>
      <c r="M4" s="77" t="s">
        <v>48</v>
      </c>
      <c r="N4" s="76"/>
    </row>
    <row r="5" spans="2:14" ht="15" customHeight="1" thickBot="1" x14ac:dyDescent="0.35">
      <c r="B5" s="11">
        <v>121</v>
      </c>
      <c r="C5" s="32" t="s">
        <v>0</v>
      </c>
      <c r="D5" s="13">
        <v>25000</v>
      </c>
      <c r="F5" s="30" t="s">
        <v>49</v>
      </c>
      <c r="G5" s="15" t="str">
        <f>VLOOKUP(G4,B5:D9,2,1)</f>
        <v>Natasha Austin</v>
      </c>
      <c r="I5" s="11">
        <v>121</v>
      </c>
      <c r="J5" s="32" t="s">
        <v>0</v>
      </c>
      <c r="K5" s="13">
        <v>25000</v>
      </c>
      <c r="M5" s="30" t="s">
        <v>49</v>
      </c>
      <c r="N5" s="15"/>
    </row>
    <row r="6" spans="2:14" x14ac:dyDescent="0.3">
      <c r="B6" s="16">
        <v>135</v>
      </c>
      <c r="C6" s="53" t="s">
        <v>1</v>
      </c>
      <c r="D6" s="79">
        <v>28000</v>
      </c>
      <c r="E6" s="49"/>
      <c r="I6" s="101">
        <v>135</v>
      </c>
      <c r="J6" s="64" t="s">
        <v>1</v>
      </c>
      <c r="K6" s="79">
        <v>28000</v>
      </c>
      <c r="L6" s="49"/>
    </row>
    <row r="7" spans="2:14" x14ac:dyDescent="0.3">
      <c r="B7" s="74">
        <v>169</v>
      </c>
      <c r="C7" s="78" t="s">
        <v>2</v>
      </c>
      <c r="D7" s="75">
        <v>22000</v>
      </c>
      <c r="E7" s="49"/>
      <c r="F7" s="49"/>
      <c r="I7" s="74">
        <v>169</v>
      </c>
      <c r="J7" s="78" t="s">
        <v>2</v>
      </c>
      <c r="K7" s="75">
        <v>22000</v>
      </c>
      <c r="L7" s="49"/>
      <c r="M7" s="49"/>
    </row>
    <row r="8" spans="2:14" x14ac:dyDescent="0.3">
      <c r="B8" s="11">
        <v>177</v>
      </c>
      <c r="C8" s="32" t="s">
        <v>3</v>
      </c>
      <c r="D8" s="13">
        <v>25000</v>
      </c>
      <c r="I8" s="11">
        <v>177</v>
      </c>
      <c r="J8" s="32" t="s">
        <v>3</v>
      </c>
      <c r="K8" s="13">
        <v>25000</v>
      </c>
    </row>
    <row r="9" spans="2:14" ht="15" thickBot="1" x14ac:dyDescent="0.35">
      <c r="B9" s="19">
        <v>182</v>
      </c>
      <c r="C9" s="61" t="s">
        <v>4</v>
      </c>
      <c r="D9" s="21">
        <v>30000</v>
      </c>
      <c r="I9" s="19">
        <v>182</v>
      </c>
      <c r="J9" s="61" t="s">
        <v>4</v>
      </c>
      <c r="K9" s="21">
        <v>30000</v>
      </c>
    </row>
    <row r="10" spans="2:14" ht="183" customHeight="1" x14ac:dyDescent="0.3"/>
  </sheetData>
  <mergeCells count="2">
    <mergeCell ref="B2:D2"/>
    <mergeCell ref="I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11"/>
  <sheetViews>
    <sheetView showGridLines="0" zoomScale="80" zoomScaleNormal="80" workbookViewId="0">
      <selection activeCell="O5" sqref="O5:P5"/>
    </sheetView>
  </sheetViews>
  <sheetFormatPr defaultColWidth="9.109375" defaultRowHeight="14.4" x14ac:dyDescent="0.3"/>
  <cols>
    <col min="1" max="1" width="2.88671875" style="1" customWidth="1"/>
    <col min="2" max="2" width="18" style="3" customWidth="1"/>
    <col min="3" max="3" width="15.88671875" style="3" customWidth="1"/>
    <col min="4" max="4" width="14.33203125" style="3" customWidth="1"/>
    <col min="5" max="5" width="1.88671875" style="3" customWidth="1"/>
    <col min="6" max="6" width="14" style="3" bestFit="1" customWidth="1"/>
    <col min="7" max="7" width="12" style="3" customWidth="1"/>
    <col min="8" max="8" width="12.33203125" style="1" bestFit="1" customWidth="1"/>
    <col min="9" max="9" width="12.33203125" style="1" customWidth="1"/>
    <col min="10" max="10" width="18" style="3" customWidth="1"/>
    <col min="11" max="11" width="15.88671875" style="3" customWidth="1"/>
    <col min="12" max="12" width="14.33203125" style="3" customWidth="1"/>
    <col min="13" max="13" width="1.88671875" style="3" customWidth="1"/>
    <col min="14" max="14" width="14" style="3" bestFit="1" customWidth="1"/>
    <col min="15" max="15" width="12" style="3" customWidth="1"/>
    <col min="16" max="16" width="12" style="1" bestFit="1" customWidth="1"/>
    <col min="17" max="16384" width="9.109375" style="1"/>
  </cols>
  <sheetData>
    <row r="2" spans="2:16" ht="18" thickBot="1" x14ac:dyDescent="0.4">
      <c r="B2" s="22" t="s">
        <v>50</v>
      </c>
      <c r="C2" s="22"/>
      <c r="D2" s="22"/>
      <c r="J2" s="126" t="s">
        <v>101</v>
      </c>
      <c r="K2" s="126"/>
      <c r="L2" s="126"/>
    </row>
    <row r="3" spans="2:16" ht="15.6" thickTop="1" thickBot="1" x14ac:dyDescent="0.35"/>
    <row r="4" spans="2:16" ht="15.6" x14ac:dyDescent="0.3">
      <c r="B4" s="23" t="s">
        <v>17</v>
      </c>
      <c r="C4" s="24" t="s">
        <v>20</v>
      </c>
      <c r="D4" s="25"/>
      <c r="F4" s="29" t="s">
        <v>42</v>
      </c>
      <c r="G4" s="80" t="s">
        <v>2</v>
      </c>
      <c r="H4" s="81" t="s">
        <v>3</v>
      </c>
      <c r="J4" s="23" t="s">
        <v>17</v>
      </c>
      <c r="K4" s="24" t="s">
        <v>20</v>
      </c>
      <c r="L4" s="25"/>
      <c r="N4" s="29" t="s">
        <v>42</v>
      </c>
      <c r="O4" s="80"/>
      <c r="P4" s="81"/>
    </row>
    <row r="5" spans="2:16" ht="16.2" thickBot="1" x14ac:dyDescent="0.35">
      <c r="B5" s="26"/>
      <c r="C5" s="27" t="s">
        <v>18</v>
      </c>
      <c r="D5" s="28" t="s">
        <v>19</v>
      </c>
      <c r="F5" s="30" t="s">
        <v>19</v>
      </c>
      <c r="G5" s="82" cm="1">
        <f t="array" ref="G5:H5">VLOOKUP(G4:H4,B6:D10,3,FALSE)</f>
        <v>22000</v>
      </c>
      <c r="H5" s="83">
        <v>25000</v>
      </c>
      <c r="J5" s="26"/>
      <c r="K5" s="27" t="s">
        <v>18</v>
      </c>
      <c r="L5" s="28" t="s">
        <v>19</v>
      </c>
      <c r="N5" s="30" t="s">
        <v>19</v>
      </c>
      <c r="O5" s="82"/>
      <c r="P5" s="83"/>
    </row>
    <row r="6" spans="2:16" x14ac:dyDescent="0.3">
      <c r="B6" s="11" t="s">
        <v>0</v>
      </c>
      <c r="C6" s="12">
        <v>44336</v>
      </c>
      <c r="D6" s="13">
        <v>25000</v>
      </c>
      <c r="E6" s="49"/>
      <c r="J6" s="11" t="s">
        <v>0</v>
      </c>
      <c r="K6" s="12">
        <v>44336</v>
      </c>
      <c r="L6" s="13">
        <v>25000</v>
      </c>
      <c r="M6" s="49"/>
    </row>
    <row r="7" spans="2:16" x14ac:dyDescent="0.3">
      <c r="B7" s="11" t="s">
        <v>1</v>
      </c>
      <c r="C7" s="12">
        <v>44343</v>
      </c>
      <c r="D7" s="13">
        <v>28000</v>
      </c>
      <c r="E7" s="49"/>
      <c r="J7" s="11" t="s">
        <v>1</v>
      </c>
      <c r="K7" s="12">
        <v>44343</v>
      </c>
      <c r="L7" s="13">
        <v>28000</v>
      </c>
      <c r="M7" s="49"/>
    </row>
    <row r="8" spans="2:16" x14ac:dyDescent="0.3">
      <c r="B8" s="16" t="s">
        <v>2</v>
      </c>
      <c r="C8" s="17">
        <v>44350</v>
      </c>
      <c r="D8" s="18">
        <v>22000</v>
      </c>
      <c r="J8" s="101" t="s">
        <v>2</v>
      </c>
      <c r="K8" s="127">
        <v>44350</v>
      </c>
      <c r="L8" s="79">
        <v>22000</v>
      </c>
    </row>
    <row r="9" spans="2:16" x14ac:dyDescent="0.3">
      <c r="B9" s="16" t="s">
        <v>3</v>
      </c>
      <c r="C9" s="17">
        <v>44357</v>
      </c>
      <c r="D9" s="18">
        <v>25000</v>
      </c>
      <c r="J9" s="101" t="s">
        <v>3</v>
      </c>
      <c r="K9" s="127">
        <v>44357</v>
      </c>
      <c r="L9" s="79">
        <v>25000</v>
      </c>
    </row>
    <row r="10" spans="2:16" ht="15" thickBot="1" x14ac:dyDescent="0.35">
      <c r="B10" s="19" t="s">
        <v>4</v>
      </c>
      <c r="C10" s="20">
        <v>44364</v>
      </c>
      <c r="D10" s="21">
        <v>30000</v>
      </c>
      <c r="J10" s="132" t="s">
        <v>4</v>
      </c>
      <c r="K10" s="133">
        <v>44364</v>
      </c>
      <c r="L10" s="134">
        <v>30000</v>
      </c>
    </row>
    <row r="11" spans="2:16" ht="256.8" customHeight="1" x14ac:dyDescent="0.3"/>
  </sheetData>
  <mergeCells count="6">
    <mergeCell ref="B2:D2"/>
    <mergeCell ref="B4:B5"/>
    <mergeCell ref="C4:D4"/>
    <mergeCell ref="J2:L2"/>
    <mergeCell ref="J4:J5"/>
    <mergeCell ref="K4:L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64AF-2EF9-4975-BDC2-7780176923FD}">
  <dimension ref="B1:L19"/>
  <sheetViews>
    <sheetView showGridLines="0" zoomScale="80" zoomScaleNormal="80" workbookViewId="0">
      <selection activeCell="L20" sqref="L20"/>
    </sheetView>
  </sheetViews>
  <sheetFormatPr defaultRowHeight="14.4" x14ac:dyDescent="0.3"/>
  <cols>
    <col min="1" max="1" width="3.44140625" customWidth="1"/>
    <col min="2" max="2" width="12.88671875" style="84" customWidth="1"/>
    <col min="3" max="3" width="13.33203125" style="84" customWidth="1"/>
    <col min="4" max="4" width="12.77734375" style="84" customWidth="1"/>
    <col min="5" max="5" width="11.6640625" style="84" customWidth="1"/>
    <col min="6" max="6" width="13.5546875" style="84" customWidth="1"/>
    <col min="7" max="7" width="48.5546875" customWidth="1"/>
    <col min="8" max="8" width="12.88671875" style="84" customWidth="1"/>
    <col min="9" max="9" width="13.33203125" style="84" customWidth="1"/>
    <col min="10" max="10" width="12.77734375" style="84" customWidth="1"/>
    <col min="11" max="11" width="11.6640625" style="84" customWidth="1"/>
    <col min="12" max="12" width="13.5546875" style="84" customWidth="1"/>
  </cols>
  <sheetData>
    <row r="1" spans="2:12" ht="6" customHeight="1" x14ac:dyDescent="0.3"/>
    <row r="2" spans="2:12" ht="21.6" customHeight="1" thickBot="1" x14ac:dyDescent="0.4">
      <c r="B2" s="22" t="s">
        <v>77</v>
      </c>
      <c r="C2" s="22"/>
      <c r="D2" s="22"/>
      <c r="E2" s="22"/>
      <c r="F2" s="22"/>
      <c r="H2" s="126" t="s">
        <v>101</v>
      </c>
      <c r="I2" s="126"/>
      <c r="J2" s="126"/>
      <c r="K2" s="126"/>
      <c r="L2" s="126"/>
    </row>
    <row r="3" spans="2:12" ht="15.6" thickTop="1" thickBot="1" x14ac:dyDescent="0.35"/>
    <row r="4" spans="2:12" ht="15.6" x14ac:dyDescent="0.3">
      <c r="B4" s="55" t="s">
        <v>51</v>
      </c>
      <c r="C4" s="47" t="s">
        <v>52</v>
      </c>
      <c r="D4" s="47" t="s">
        <v>53</v>
      </c>
      <c r="E4" s="47" t="s">
        <v>54</v>
      </c>
      <c r="F4" s="48" t="s">
        <v>55</v>
      </c>
      <c r="H4" s="55" t="s">
        <v>51</v>
      </c>
      <c r="I4" s="47" t="s">
        <v>52</v>
      </c>
      <c r="J4" s="47" t="s">
        <v>53</v>
      </c>
      <c r="K4" s="47" t="s">
        <v>54</v>
      </c>
      <c r="L4" s="48" t="s">
        <v>55</v>
      </c>
    </row>
    <row r="5" spans="2:12" x14ac:dyDescent="0.3">
      <c r="B5" s="86" t="s">
        <v>56</v>
      </c>
      <c r="C5" s="85" t="s">
        <v>57</v>
      </c>
      <c r="D5" s="85" t="s">
        <v>58</v>
      </c>
      <c r="E5" s="85" t="s">
        <v>59</v>
      </c>
      <c r="F5" s="87">
        <v>610</v>
      </c>
      <c r="H5" s="86" t="s">
        <v>56</v>
      </c>
      <c r="I5" s="85" t="s">
        <v>57</v>
      </c>
      <c r="J5" s="85" t="s">
        <v>58</v>
      </c>
      <c r="K5" s="85" t="s">
        <v>59</v>
      </c>
      <c r="L5" s="87">
        <v>610</v>
      </c>
    </row>
    <row r="6" spans="2:12" x14ac:dyDescent="0.3">
      <c r="B6" s="86" t="s">
        <v>60</v>
      </c>
      <c r="C6" s="85" t="s">
        <v>61</v>
      </c>
      <c r="D6" s="85" t="s">
        <v>62</v>
      </c>
      <c r="E6" s="85" t="s">
        <v>59</v>
      </c>
      <c r="F6" s="87">
        <v>1065</v>
      </c>
      <c r="H6" s="86" t="s">
        <v>60</v>
      </c>
      <c r="I6" s="85" t="s">
        <v>61</v>
      </c>
      <c r="J6" s="85" t="s">
        <v>62</v>
      </c>
      <c r="K6" s="85" t="s">
        <v>59</v>
      </c>
      <c r="L6" s="87">
        <v>1065</v>
      </c>
    </row>
    <row r="7" spans="2:12" x14ac:dyDescent="0.3">
      <c r="B7" s="86" t="s">
        <v>63</v>
      </c>
      <c r="C7" s="85" t="s">
        <v>64</v>
      </c>
      <c r="D7" s="85" t="s">
        <v>58</v>
      </c>
      <c r="E7" s="85" t="s">
        <v>59</v>
      </c>
      <c r="F7" s="87">
        <v>768</v>
      </c>
      <c r="H7" s="86" t="s">
        <v>63</v>
      </c>
      <c r="I7" s="85" t="s">
        <v>64</v>
      </c>
      <c r="J7" s="85" t="s">
        <v>58</v>
      </c>
      <c r="K7" s="85" t="s">
        <v>59</v>
      </c>
      <c r="L7" s="87">
        <v>768</v>
      </c>
    </row>
    <row r="8" spans="2:12" x14ac:dyDescent="0.3">
      <c r="B8" s="16" t="s">
        <v>56</v>
      </c>
      <c r="C8" s="53" t="s">
        <v>65</v>
      </c>
      <c r="D8" s="53" t="s">
        <v>58</v>
      </c>
      <c r="E8" s="53" t="s">
        <v>66</v>
      </c>
      <c r="F8" s="100">
        <v>826</v>
      </c>
      <c r="H8" s="101" t="s">
        <v>56</v>
      </c>
      <c r="I8" s="64" t="s">
        <v>65</v>
      </c>
      <c r="J8" s="64" t="s">
        <v>58</v>
      </c>
      <c r="K8" s="64" t="s">
        <v>66</v>
      </c>
      <c r="L8" s="102">
        <v>826</v>
      </c>
    </row>
    <row r="9" spans="2:12" x14ac:dyDescent="0.3">
      <c r="B9" s="86" t="s">
        <v>60</v>
      </c>
      <c r="C9" s="85" t="s">
        <v>67</v>
      </c>
      <c r="D9" s="85" t="s">
        <v>62</v>
      </c>
      <c r="E9" s="85" t="s">
        <v>68</v>
      </c>
      <c r="F9" s="87">
        <v>1360</v>
      </c>
      <c r="H9" s="86" t="s">
        <v>60</v>
      </c>
      <c r="I9" s="85" t="s">
        <v>67</v>
      </c>
      <c r="J9" s="85" t="s">
        <v>62</v>
      </c>
      <c r="K9" s="85" t="s">
        <v>68</v>
      </c>
      <c r="L9" s="87">
        <v>1360</v>
      </c>
    </row>
    <row r="10" spans="2:12" x14ac:dyDescent="0.3">
      <c r="B10" s="86" t="s">
        <v>63</v>
      </c>
      <c r="C10" s="85" t="s">
        <v>69</v>
      </c>
      <c r="D10" s="85" t="s">
        <v>58</v>
      </c>
      <c r="E10" s="85" t="s">
        <v>68</v>
      </c>
      <c r="F10" s="87">
        <v>1100</v>
      </c>
      <c r="H10" s="86" t="s">
        <v>63</v>
      </c>
      <c r="I10" s="85" t="s">
        <v>69</v>
      </c>
      <c r="J10" s="85" t="s">
        <v>58</v>
      </c>
      <c r="K10" s="85" t="s">
        <v>68</v>
      </c>
      <c r="L10" s="87">
        <v>1100</v>
      </c>
    </row>
    <row r="11" spans="2:12" x14ac:dyDescent="0.3">
      <c r="B11" s="86" t="s">
        <v>56</v>
      </c>
      <c r="C11" s="85" t="s">
        <v>70</v>
      </c>
      <c r="D11" s="85" t="s">
        <v>71</v>
      </c>
      <c r="E11" s="85" t="s">
        <v>72</v>
      </c>
      <c r="F11" s="87">
        <v>170</v>
      </c>
      <c r="H11" s="86" t="s">
        <v>56</v>
      </c>
      <c r="I11" s="85" t="s">
        <v>70</v>
      </c>
      <c r="J11" s="85" t="s">
        <v>71</v>
      </c>
      <c r="K11" s="85" t="s">
        <v>72</v>
      </c>
      <c r="L11" s="87">
        <v>170</v>
      </c>
    </row>
    <row r="12" spans="2:12" x14ac:dyDescent="0.3">
      <c r="B12" s="86" t="s">
        <v>60</v>
      </c>
      <c r="C12" s="85" t="s">
        <v>73</v>
      </c>
      <c r="D12" s="85" t="s">
        <v>62</v>
      </c>
      <c r="E12" s="85" t="s">
        <v>74</v>
      </c>
      <c r="F12" s="87">
        <v>700</v>
      </c>
      <c r="H12" s="86" t="s">
        <v>60</v>
      </c>
      <c r="I12" s="85" t="s">
        <v>73</v>
      </c>
      <c r="J12" s="85" t="s">
        <v>62</v>
      </c>
      <c r="K12" s="85" t="s">
        <v>74</v>
      </c>
      <c r="L12" s="87">
        <v>700</v>
      </c>
    </row>
    <row r="13" spans="2:12" ht="15" thickBot="1" x14ac:dyDescent="0.35">
      <c r="B13" s="88" t="s">
        <v>63</v>
      </c>
      <c r="C13" s="89" t="s">
        <v>75</v>
      </c>
      <c r="D13" s="89" t="s">
        <v>58</v>
      </c>
      <c r="E13" s="89" t="s">
        <v>59</v>
      </c>
      <c r="F13" s="90">
        <v>408</v>
      </c>
      <c r="H13" s="88" t="s">
        <v>63</v>
      </c>
      <c r="I13" s="89" t="s">
        <v>75</v>
      </c>
      <c r="J13" s="89" t="s">
        <v>58</v>
      </c>
      <c r="K13" s="89" t="s">
        <v>59</v>
      </c>
      <c r="L13" s="90">
        <v>408</v>
      </c>
    </row>
    <row r="14" spans="2:12" ht="15" thickBot="1" x14ac:dyDescent="0.35"/>
    <row r="15" spans="2:12" ht="15.6" x14ac:dyDescent="0.3">
      <c r="B15" s="91" t="s">
        <v>76</v>
      </c>
      <c r="C15" s="47" t="s">
        <v>51</v>
      </c>
      <c r="D15" s="92" t="s">
        <v>56</v>
      </c>
      <c r="E15" s="92"/>
      <c r="F15" s="93"/>
      <c r="H15" s="91" t="s">
        <v>76</v>
      </c>
      <c r="I15" s="47" t="s">
        <v>51</v>
      </c>
      <c r="J15" s="92"/>
      <c r="K15" s="92"/>
      <c r="L15" s="93"/>
    </row>
    <row r="16" spans="2:12" ht="16.2" thickBot="1" x14ac:dyDescent="0.35">
      <c r="B16" s="94"/>
      <c r="C16" s="95" t="s">
        <v>52</v>
      </c>
      <c r="D16" s="96" t="s">
        <v>65</v>
      </c>
      <c r="E16" s="96"/>
      <c r="F16" s="97"/>
      <c r="H16" s="94"/>
      <c r="I16" s="95" t="s">
        <v>52</v>
      </c>
      <c r="J16" s="96"/>
      <c r="K16" s="96"/>
      <c r="L16" s="97"/>
    </row>
    <row r="17" spans="2:9" ht="15" thickBot="1" x14ac:dyDescent="0.35"/>
    <row r="18" spans="2:9" ht="16.2" thickBot="1" x14ac:dyDescent="0.35">
      <c r="B18" s="98" t="s">
        <v>55</v>
      </c>
      <c r="C18" s="99" cm="1">
        <f t="array" ref="C18">VLOOKUP($D$15&amp;$D$16,CHOOSE({1,2},
$B$5:$B$13&amp;$C$5:$C$13,$F$5:$F$13),2,FALSE)</f>
        <v>826</v>
      </c>
      <c r="H18" s="98" t="s">
        <v>55</v>
      </c>
      <c r="I18" s="99"/>
    </row>
    <row r="19" spans="2:9" ht="93.6" customHeight="1" x14ac:dyDescent="0.3"/>
  </sheetData>
  <mergeCells count="8">
    <mergeCell ref="H2:L2"/>
    <mergeCell ref="H15:H16"/>
    <mergeCell ref="J15:L15"/>
    <mergeCell ref="J16:L16"/>
    <mergeCell ref="B2:F2"/>
    <mergeCell ref="B15:B16"/>
    <mergeCell ref="D15:F15"/>
    <mergeCell ref="D16:F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098A-6408-48B3-8A1D-A1D0EEF7DCD7}">
  <dimension ref="B1:N19"/>
  <sheetViews>
    <sheetView showGridLines="0" zoomScale="80" zoomScaleNormal="80" workbookViewId="0">
      <selection activeCell="N21" sqref="N21"/>
    </sheetView>
  </sheetViews>
  <sheetFormatPr defaultRowHeight="14.4" x14ac:dyDescent="0.3"/>
  <cols>
    <col min="1" max="1" width="3.44140625" customWidth="1"/>
    <col min="2" max="2" width="18.21875" style="84" bestFit="1" customWidth="1"/>
    <col min="3" max="3" width="12.88671875" style="84" customWidth="1"/>
    <col min="4" max="4" width="13.33203125" style="84" customWidth="1"/>
    <col min="5" max="5" width="12.77734375" style="84" customWidth="1"/>
    <col min="6" max="6" width="11.6640625" style="84" customWidth="1"/>
    <col min="7" max="7" width="13.5546875" style="84" customWidth="1"/>
    <col min="8" max="8" width="48.5546875" customWidth="1"/>
    <col min="9" max="9" width="18.21875" style="84" bestFit="1" customWidth="1"/>
    <col min="10" max="10" width="12.88671875" style="84" customWidth="1"/>
    <col min="11" max="11" width="13.33203125" style="84" customWidth="1"/>
    <col min="12" max="12" width="12.77734375" style="84" customWidth="1"/>
    <col min="13" max="13" width="11.6640625" style="84" customWidth="1"/>
    <col min="14" max="14" width="13.5546875" style="84" customWidth="1"/>
  </cols>
  <sheetData>
    <row r="1" spans="2:14" ht="6" customHeight="1" x14ac:dyDescent="0.3"/>
    <row r="2" spans="2:14" ht="21.6" customHeight="1" thickBot="1" x14ac:dyDescent="0.4">
      <c r="B2" s="22" t="s">
        <v>78</v>
      </c>
      <c r="C2" s="22"/>
      <c r="D2" s="22"/>
      <c r="E2" s="22"/>
      <c r="F2" s="22"/>
      <c r="G2" s="22"/>
      <c r="I2" s="126" t="s">
        <v>103</v>
      </c>
      <c r="J2" s="126"/>
      <c r="K2" s="126"/>
      <c r="L2" s="126"/>
      <c r="M2" s="126"/>
      <c r="N2" s="126"/>
    </row>
    <row r="3" spans="2:14" ht="15.6" thickTop="1" thickBot="1" x14ac:dyDescent="0.35"/>
    <row r="4" spans="2:14" ht="15.6" x14ac:dyDescent="0.3">
      <c r="B4" s="55" t="s">
        <v>79</v>
      </c>
      <c r="C4" s="47" t="s">
        <v>51</v>
      </c>
      <c r="D4" s="47" t="s">
        <v>52</v>
      </c>
      <c r="E4" s="47" t="s">
        <v>53</v>
      </c>
      <c r="F4" s="47" t="s">
        <v>54</v>
      </c>
      <c r="G4" s="48" t="s">
        <v>55</v>
      </c>
      <c r="I4" s="55" t="s">
        <v>79</v>
      </c>
      <c r="J4" s="47" t="s">
        <v>51</v>
      </c>
      <c r="K4" s="47" t="s">
        <v>52</v>
      </c>
      <c r="L4" s="47" t="s">
        <v>53</v>
      </c>
      <c r="M4" s="47" t="s">
        <v>54</v>
      </c>
      <c r="N4" s="48" t="s">
        <v>55</v>
      </c>
    </row>
    <row r="5" spans="2:14" x14ac:dyDescent="0.3">
      <c r="B5" s="86" t="str">
        <f>C5&amp;D5</f>
        <v>SamsungA52</v>
      </c>
      <c r="C5" s="85" t="s">
        <v>56</v>
      </c>
      <c r="D5" s="85" t="s">
        <v>57</v>
      </c>
      <c r="E5" s="85" t="s">
        <v>58</v>
      </c>
      <c r="F5" s="85" t="s">
        <v>59</v>
      </c>
      <c r="G5" s="87">
        <v>610</v>
      </c>
      <c r="I5" s="86"/>
      <c r="J5" s="85" t="s">
        <v>56</v>
      </c>
      <c r="K5" s="85" t="s">
        <v>57</v>
      </c>
      <c r="L5" s="85" t="s">
        <v>58</v>
      </c>
      <c r="M5" s="85" t="s">
        <v>59</v>
      </c>
      <c r="N5" s="87">
        <v>610</v>
      </c>
    </row>
    <row r="6" spans="2:14" x14ac:dyDescent="0.3">
      <c r="B6" s="86" t="str">
        <f t="shared" ref="B6:B13" si="0">C6&amp;D6</f>
        <v>AppleiPhone 13</v>
      </c>
      <c r="C6" s="85" t="s">
        <v>60</v>
      </c>
      <c r="D6" s="85" t="s">
        <v>61</v>
      </c>
      <c r="E6" s="85" t="s">
        <v>62</v>
      </c>
      <c r="F6" s="85" t="s">
        <v>59</v>
      </c>
      <c r="G6" s="87">
        <v>1065</v>
      </c>
      <c r="I6" s="86"/>
      <c r="J6" s="85" t="s">
        <v>60</v>
      </c>
      <c r="K6" s="85" t="s">
        <v>61</v>
      </c>
      <c r="L6" s="85" t="s">
        <v>62</v>
      </c>
      <c r="M6" s="85" t="s">
        <v>59</v>
      </c>
      <c r="N6" s="87">
        <v>1065</v>
      </c>
    </row>
    <row r="7" spans="2:14" x14ac:dyDescent="0.3">
      <c r="B7" s="86" t="str">
        <f t="shared" si="0"/>
        <v>Xiaomi11T Pro</v>
      </c>
      <c r="C7" s="85" t="s">
        <v>63</v>
      </c>
      <c r="D7" s="85" t="s">
        <v>64</v>
      </c>
      <c r="E7" s="85" t="s">
        <v>58</v>
      </c>
      <c r="F7" s="85" t="s">
        <v>59</v>
      </c>
      <c r="G7" s="87">
        <v>768</v>
      </c>
      <c r="I7" s="86"/>
      <c r="J7" s="85" t="s">
        <v>63</v>
      </c>
      <c r="K7" s="85" t="s">
        <v>64</v>
      </c>
      <c r="L7" s="85" t="s">
        <v>58</v>
      </c>
      <c r="M7" s="85" t="s">
        <v>59</v>
      </c>
      <c r="N7" s="87">
        <v>768</v>
      </c>
    </row>
    <row r="8" spans="2:14" x14ac:dyDescent="0.3">
      <c r="B8" s="105" t="str">
        <f t="shared" si="0"/>
        <v>SamsungS21 Ultra</v>
      </c>
      <c r="C8" s="53" t="s">
        <v>56</v>
      </c>
      <c r="D8" s="53" t="s">
        <v>65</v>
      </c>
      <c r="E8" s="53" t="s">
        <v>58</v>
      </c>
      <c r="F8" s="53" t="s">
        <v>66</v>
      </c>
      <c r="G8" s="100">
        <v>826</v>
      </c>
      <c r="I8" s="103"/>
      <c r="J8" s="64" t="s">
        <v>56</v>
      </c>
      <c r="K8" s="64" t="s">
        <v>65</v>
      </c>
      <c r="L8" s="64" t="s">
        <v>58</v>
      </c>
      <c r="M8" s="64" t="s">
        <v>66</v>
      </c>
      <c r="N8" s="102">
        <v>826</v>
      </c>
    </row>
    <row r="9" spans="2:14" x14ac:dyDescent="0.3">
      <c r="B9" s="86" t="str">
        <f t="shared" si="0"/>
        <v>AppleiPhone 13 Pro</v>
      </c>
      <c r="C9" s="85" t="s">
        <v>60</v>
      </c>
      <c r="D9" s="85" t="s">
        <v>67</v>
      </c>
      <c r="E9" s="85" t="s">
        <v>62</v>
      </c>
      <c r="F9" s="85" t="s">
        <v>68</v>
      </c>
      <c r="G9" s="87">
        <v>1360</v>
      </c>
      <c r="I9" s="103"/>
      <c r="J9" s="136" t="s">
        <v>60</v>
      </c>
      <c r="K9" s="136" t="s">
        <v>67</v>
      </c>
      <c r="L9" s="136" t="s">
        <v>62</v>
      </c>
      <c r="M9" s="136" t="s">
        <v>68</v>
      </c>
      <c r="N9" s="137">
        <v>1360</v>
      </c>
    </row>
    <row r="10" spans="2:14" x14ac:dyDescent="0.3">
      <c r="B10" s="86" t="str">
        <f t="shared" si="0"/>
        <v>XiaomiMix 4</v>
      </c>
      <c r="C10" s="85" t="s">
        <v>63</v>
      </c>
      <c r="D10" s="85" t="s">
        <v>69</v>
      </c>
      <c r="E10" s="85" t="s">
        <v>58</v>
      </c>
      <c r="F10" s="85" t="s">
        <v>68</v>
      </c>
      <c r="G10" s="87">
        <v>1100</v>
      </c>
      <c r="I10" s="86"/>
      <c r="J10" s="85" t="s">
        <v>63</v>
      </c>
      <c r="K10" s="85" t="s">
        <v>69</v>
      </c>
      <c r="L10" s="85" t="s">
        <v>58</v>
      </c>
      <c r="M10" s="85" t="s">
        <v>68</v>
      </c>
      <c r="N10" s="87">
        <v>1100</v>
      </c>
    </row>
    <row r="11" spans="2:14" x14ac:dyDescent="0.3">
      <c r="B11" s="86" t="str">
        <f t="shared" si="0"/>
        <v>SamsungGalaxy A12</v>
      </c>
      <c r="C11" s="85" t="s">
        <v>56</v>
      </c>
      <c r="D11" s="85" t="s">
        <v>70</v>
      </c>
      <c r="E11" s="85" t="s">
        <v>71</v>
      </c>
      <c r="F11" s="85" t="s">
        <v>72</v>
      </c>
      <c r="G11" s="87">
        <v>170</v>
      </c>
      <c r="I11" s="86"/>
      <c r="J11" s="85" t="s">
        <v>56</v>
      </c>
      <c r="K11" s="85" t="s">
        <v>70</v>
      </c>
      <c r="L11" s="85" t="s">
        <v>71</v>
      </c>
      <c r="M11" s="85" t="s">
        <v>72</v>
      </c>
      <c r="N11" s="87">
        <v>170</v>
      </c>
    </row>
    <row r="12" spans="2:14" x14ac:dyDescent="0.3">
      <c r="B12" s="86" t="str">
        <f t="shared" si="0"/>
        <v>AppleiPhone 12</v>
      </c>
      <c r="C12" s="85" t="s">
        <v>60</v>
      </c>
      <c r="D12" s="85" t="s">
        <v>73</v>
      </c>
      <c r="E12" s="85" t="s">
        <v>62</v>
      </c>
      <c r="F12" s="85" t="s">
        <v>74</v>
      </c>
      <c r="G12" s="87">
        <v>700</v>
      </c>
      <c r="I12" s="86"/>
      <c r="J12" s="85" t="s">
        <v>60</v>
      </c>
      <c r="K12" s="85" t="s">
        <v>73</v>
      </c>
      <c r="L12" s="85" t="s">
        <v>62</v>
      </c>
      <c r="M12" s="85" t="s">
        <v>74</v>
      </c>
      <c r="N12" s="87">
        <v>700</v>
      </c>
    </row>
    <row r="13" spans="2:14" ht="15" thickBot="1" x14ac:dyDescent="0.35">
      <c r="B13" s="86" t="str">
        <f t="shared" si="0"/>
        <v>XiaomiMi 11X</v>
      </c>
      <c r="C13" s="89" t="s">
        <v>63</v>
      </c>
      <c r="D13" s="89" t="s">
        <v>75</v>
      </c>
      <c r="E13" s="89" t="s">
        <v>58</v>
      </c>
      <c r="F13" s="89" t="s">
        <v>59</v>
      </c>
      <c r="G13" s="90">
        <v>408</v>
      </c>
      <c r="I13" s="86"/>
      <c r="J13" s="89" t="s">
        <v>63</v>
      </c>
      <c r="K13" s="89" t="s">
        <v>75</v>
      </c>
      <c r="L13" s="89" t="s">
        <v>58</v>
      </c>
      <c r="M13" s="89" t="s">
        <v>59</v>
      </c>
      <c r="N13" s="90">
        <v>408</v>
      </c>
    </row>
    <row r="14" spans="2:14" ht="15" thickBot="1" x14ac:dyDescent="0.35"/>
    <row r="15" spans="2:14" ht="15.6" x14ac:dyDescent="0.3">
      <c r="B15" s="91" t="s">
        <v>76</v>
      </c>
      <c r="C15" s="47" t="s">
        <v>51</v>
      </c>
      <c r="D15" s="92" t="s">
        <v>56</v>
      </c>
      <c r="E15" s="92"/>
      <c r="F15" s="93"/>
      <c r="G15"/>
      <c r="I15" s="91" t="s">
        <v>76</v>
      </c>
      <c r="J15" s="47" t="s">
        <v>51</v>
      </c>
      <c r="K15" s="92"/>
      <c r="L15" s="92"/>
      <c r="M15" s="93"/>
      <c r="N15"/>
    </row>
    <row r="16" spans="2:14" ht="16.2" thickBot="1" x14ac:dyDescent="0.35">
      <c r="B16" s="94"/>
      <c r="C16" s="95" t="s">
        <v>52</v>
      </c>
      <c r="D16" s="96" t="s">
        <v>65</v>
      </c>
      <c r="E16" s="96"/>
      <c r="F16" s="97"/>
      <c r="G16"/>
      <c r="I16" s="94"/>
      <c r="J16" s="95" t="s">
        <v>52</v>
      </c>
      <c r="K16" s="96"/>
      <c r="L16" s="96"/>
      <c r="M16" s="97"/>
      <c r="N16"/>
    </row>
    <row r="17" spans="2:14" ht="15" thickBot="1" x14ac:dyDescent="0.35"/>
    <row r="18" spans="2:14" ht="16.2" thickBot="1" x14ac:dyDescent="0.35">
      <c r="B18" s="98" t="s">
        <v>55</v>
      </c>
      <c r="C18" s="104">
        <f>VLOOKUP(D15&amp;D16,B5:G13,MATCH(B18,B4:G4,0),FALSE)</f>
        <v>826</v>
      </c>
      <c r="G18"/>
      <c r="I18" s="98" t="s">
        <v>55</v>
      </c>
      <c r="J18" s="104"/>
      <c r="N18"/>
    </row>
    <row r="19" spans="2:14" ht="93.6" customHeight="1" x14ac:dyDescent="0.3"/>
  </sheetData>
  <mergeCells count="8">
    <mergeCell ref="B2:G2"/>
    <mergeCell ref="B15:B16"/>
    <mergeCell ref="D15:F15"/>
    <mergeCell ref="D16:F16"/>
    <mergeCell ref="I2:N2"/>
    <mergeCell ref="I15:I16"/>
    <mergeCell ref="K15:M15"/>
    <mergeCell ref="K16:M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D10D-305B-4A78-AD51-3D587E8DC6AD}">
  <dimension ref="B2:D10"/>
  <sheetViews>
    <sheetView showGridLines="0" zoomScale="80" zoomScaleNormal="80" workbookViewId="0">
      <selection activeCell="L19" sqref="L19"/>
    </sheetView>
  </sheetViews>
  <sheetFormatPr defaultRowHeight="14.4" x14ac:dyDescent="0.3"/>
  <cols>
    <col min="1" max="1" width="2.5546875" style="84" customWidth="1"/>
    <col min="2" max="2" width="9.88671875" style="84" customWidth="1"/>
    <col min="3" max="3" width="9.5546875" style="84" customWidth="1"/>
    <col min="4" max="4" width="10.88671875" style="84" customWidth="1"/>
    <col min="5" max="5" width="74" style="84" customWidth="1"/>
    <col min="6" max="16384" width="8.88671875" style="84"/>
  </cols>
  <sheetData>
    <row r="2" spans="2:4" ht="18" thickBot="1" x14ac:dyDescent="0.35">
      <c r="B2" s="106" t="s">
        <v>80</v>
      </c>
      <c r="C2" s="106"/>
      <c r="D2" s="106"/>
    </row>
    <row r="3" spans="2:4" ht="15.6" thickTop="1" thickBot="1" x14ac:dyDescent="0.35"/>
    <row r="4" spans="2:4" ht="15.6" x14ac:dyDescent="0.3">
      <c r="B4" s="55" t="s">
        <v>81</v>
      </c>
      <c r="C4" s="47" t="s">
        <v>82</v>
      </c>
      <c r="D4" s="48" t="s">
        <v>83</v>
      </c>
    </row>
    <row r="5" spans="2:4" x14ac:dyDescent="0.3">
      <c r="B5" s="107">
        <v>114</v>
      </c>
      <c r="C5" s="85" t="s">
        <v>84</v>
      </c>
      <c r="D5" s="87">
        <v>127</v>
      </c>
    </row>
    <row r="6" spans="2:4" x14ac:dyDescent="0.3">
      <c r="B6" s="107">
        <v>105</v>
      </c>
      <c r="C6" s="85" t="s">
        <v>85</v>
      </c>
      <c r="D6" s="87">
        <v>100</v>
      </c>
    </row>
    <row r="7" spans="2:4" x14ac:dyDescent="0.3">
      <c r="B7" s="107">
        <v>106</v>
      </c>
      <c r="C7" s="85" t="s">
        <v>86</v>
      </c>
      <c r="D7" s="87">
        <v>110</v>
      </c>
    </row>
    <row r="8" spans="2:4" x14ac:dyDescent="0.3">
      <c r="B8" s="107">
        <v>107</v>
      </c>
      <c r="C8" s="85" t="s">
        <v>87</v>
      </c>
      <c r="D8" s="87">
        <v>145</v>
      </c>
    </row>
    <row r="9" spans="2:4" ht="15" thickBot="1" x14ac:dyDescent="0.35">
      <c r="B9" s="108">
        <v>110</v>
      </c>
      <c r="C9" s="89" t="s">
        <v>88</v>
      </c>
      <c r="D9" s="90">
        <v>100</v>
      </c>
    </row>
    <row r="10" spans="2:4" ht="171.6" customHeight="1" x14ac:dyDescent="0.3">
      <c r="C10" s="109"/>
    </row>
  </sheetData>
  <mergeCells count="1">
    <mergeCell ref="B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DE05-DA51-4DDC-8B00-13F0E64B1C00}">
  <dimension ref="B2:D10"/>
  <sheetViews>
    <sheetView showGridLines="0" zoomScale="80" zoomScaleNormal="80" workbookViewId="0">
      <selection activeCell="D5" sqref="D5:D9"/>
    </sheetView>
  </sheetViews>
  <sheetFormatPr defaultRowHeight="14.4" x14ac:dyDescent="0.3"/>
  <cols>
    <col min="1" max="1" width="2.5546875" style="84" customWidth="1"/>
    <col min="2" max="2" width="9.88671875" style="84" customWidth="1"/>
    <col min="3" max="3" width="9.5546875" style="84" customWidth="1"/>
    <col min="4" max="4" width="10.88671875" style="84" customWidth="1"/>
    <col min="5" max="5" width="74" style="84" customWidth="1"/>
    <col min="6" max="16384" width="8.88671875" style="84"/>
  </cols>
  <sheetData>
    <row r="2" spans="2:4" ht="18" thickBot="1" x14ac:dyDescent="0.35">
      <c r="B2" s="106" t="s">
        <v>89</v>
      </c>
      <c r="C2" s="106"/>
      <c r="D2" s="106"/>
    </row>
    <row r="3" spans="2:4" ht="15.6" thickTop="1" thickBot="1" x14ac:dyDescent="0.35"/>
    <row r="4" spans="2:4" ht="15.6" x14ac:dyDescent="0.3">
      <c r="B4" s="55" t="s">
        <v>81</v>
      </c>
      <c r="C4" s="47" t="s">
        <v>82</v>
      </c>
      <c r="D4" s="48" t="s">
        <v>83</v>
      </c>
    </row>
    <row r="5" spans="2:4" x14ac:dyDescent="0.3">
      <c r="B5" s="107">
        <v>111</v>
      </c>
      <c r="C5" s="85" t="s">
        <v>84</v>
      </c>
      <c r="D5" s="87">
        <v>120</v>
      </c>
    </row>
    <row r="6" spans="2:4" x14ac:dyDescent="0.3">
      <c r="B6" s="107">
        <v>113</v>
      </c>
      <c r="C6" s="85" t="s">
        <v>85</v>
      </c>
      <c r="D6" s="87">
        <v>120</v>
      </c>
    </row>
    <row r="7" spans="2:4" x14ac:dyDescent="0.3">
      <c r="B7" s="107">
        <v>117</v>
      </c>
      <c r="C7" s="85" t="s">
        <v>86</v>
      </c>
      <c r="D7" s="87">
        <v>130</v>
      </c>
    </row>
    <row r="8" spans="2:4" x14ac:dyDescent="0.3">
      <c r="B8" s="107">
        <v>119</v>
      </c>
      <c r="C8" s="85" t="s">
        <v>87</v>
      </c>
      <c r="D8" s="87">
        <v>125</v>
      </c>
    </row>
    <row r="9" spans="2:4" ht="15" thickBot="1" x14ac:dyDescent="0.35">
      <c r="B9" s="108">
        <v>121</v>
      </c>
      <c r="C9" s="89" t="s">
        <v>88</v>
      </c>
      <c r="D9" s="90">
        <v>140</v>
      </c>
    </row>
    <row r="10" spans="2:4" ht="171.6" customHeight="1" x14ac:dyDescent="0.3"/>
  </sheetData>
  <mergeCells count="1">
    <mergeCell ref="B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BA62-6999-416B-A3B0-F6C9D09C10D7}">
  <dimension ref="B2:D10"/>
  <sheetViews>
    <sheetView showGridLines="0" zoomScale="80" zoomScaleNormal="80" workbookViewId="0">
      <selection activeCell="D5" sqref="D5:D9"/>
    </sheetView>
  </sheetViews>
  <sheetFormatPr defaultRowHeight="14.4" x14ac:dyDescent="0.3"/>
  <cols>
    <col min="1" max="1" width="2.5546875" style="84" customWidth="1"/>
    <col min="2" max="2" width="9.88671875" style="84" customWidth="1"/>
    <col min="3" max="3" width="9.5546875" style="84" customWidth="1"/>
    <col min="4" max="4" width="10.88671875" style="84" customWidth="1"/>
    <col min="5" max="5" width="74" style="84" customWidth="1"/>
    <col min="6" max="16384" width="8.88671875" style="84"/>
  </cols>
  <sheetData>
    <row r="2" spans="2:4" ht="18" thickBot="1" x14ac:dyDescent="0.35">
      <c r="B2" s="106" t="s">
        <v>90</v>
      </c>
      <c r="C2" s="106"/>
      <c r="D2" s="106"/>
    </row>
    <row r="3" spans="2:4" ht="15.6" thickTop="1" thickBot="1" x14ac:dyDescent="0.35"/>
    <row r="4" spans="2:4" ht="15.6" x14ac:dyDescent="0.3">
      <c r="B4" s="55" t="s">
        <v>81</v>
      </c>
      <c r="C4" s="47" t="s">
        <v>82</v>
      </c>
      <c r="D4" s="48" t="s">
        <v>83</v>
      </c>
    </row>
    <row r="5" spans="2:4" x14ac:dyDescent="0.3">
      <c r="B5" s="107">
        <v>116</v>
      </c>
      <c r="C5" s="85" t="s">
        <v>84</v>
      </c>
      <c r="D5" s="87">
        <v>115</v>
      </c>
    </row>
    <row r="6" spans="2:4" x14ac:dyDescent="0.3">
      <c r="B6" s="107">
        <v>118</v>
      </c>
      <c r="C6" s="85" t="s">
        <v>85</v>
      </c>
      <c r="D6" s="87">
        <v>118</v>
      </c>
    </row>
    <row r="7" spans="2:4" x14ac:dyDescent="0.3">
      <c r="B7" s="107">
        <v>115</v>
      </c>
      <c r="C7" s="85" t="s">
        <v>88</v>
      </c>
      <c r="D7" s="87">
        <v>120</v>
      </c>
    </row>
    <row r="8" spans="2:4" x14ac:dyDescent="0.3">
      <c r="B8" s="107">
        <v>120</v>
      </c>
      <c r="C8" s="85" t="s">
        <v>87</v>
      </c>
      <c r="D8" s="87">
        <v>118</v>
      </c>
    </row>
    <row r="9" spans="2:4" ht="15" thickBot="1" x14ac:dyDescent="0.35">
      <c r="B9" s="108">
        <v>112</v>
      </c>
      <c r="C9" s="89" t="s">
        <v>86</v>
      </c>
      <c r="D9" s="90">
        <v>130</v>
      </c>
    </row>
    <row r="10" spans="2:4" ht="171.6" customHeight="1" x14ac:dyDescent="0.3"/>
  </sheetData>
  <mergeCells count="1">
    <mergeCell ref="B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9631-529D-4843-A65B-67321711DFE6}">
  <dimension ref="B2:D10"/>
  <sheetViews>
    <sheetView showGridLines="0" zoomScale="80" zoomScaleNormal="80" workbookViewId="0">
      <selection activeCell="B2" sqref="B2:D2"/>
    </sheetView>
  </sheetViews>
  <sheetFormatPr defaultRowHeight="14.4" x14ac:dyDescent="0.3"/>
  <cols>
    <col min="1" max="1" width="2.5546875" style="84" customWidth="1"/>
    <col min="2" max="2" width="9.88671875" style="84" customWidth="1"/>
    <col min="3" max="3" width="9.5546875" style="84" customWidth="1"/>
    <col min="4" max="4" width="10.88671875" style="84" customWidth="1"/>
    <col min="5" max="5" width="74" style="84" customWidth="1"/>
    <col min="6" max="16384" width="8.88671875" style="84"/>
  </cols>
  <sheetData>
    <row r="2" spans="2:4" ht="18" thickBot="1" x14ac:dyDescent="0.35">
      <c r="B2" s="106" t="s">
        <v>91</v>
      </c>
      <c r="C2" s="106"/>
      <c r="D2" s="106"/>
    </row>
    <row r="3" spans="2:4" ht="15.6" thickTop="1" thickBot="1" x14ac:dyDescent="0.35"/>
    <row r="4" spans="2:4" ht="15.6" x14ac:dyDescent="0.3">
      <c r="B4" s="55" t="s">
        <v>81</v>
      </c>
      <c r="C4" s="47" t="s">
        <v>82</v>
      </c>
      <c r="D4" s="48" t="s">
        <v>83</v>
      </c>
    </row>
    <row r="5" spans="2:4" x14ac:dyDescent="0.3">
      <c r="B5" s="107">
        <v>101</v>
      </c>
      <c r="C5" s="85" t="s">
        <v>84</v>
      </c>
      <c r="D5" s="87">
        <v>125</v>
      </c>
    </row>
    <row r="6" spans="2:4" x14ac:dyDescent="0.3">
      <c r="B6" s="107">
        <v>102</v>
      </c>
      <c r="C6" s="85" t="s">
        <v>85</v>
      </c>
      <c r="D6" s="87">
        <v>120</v>
      </c>
    </row>
    <row r="7" spans="2:4" x14ac:dyDescent="0.3">
      <c r="B7" s="107">
        <v>104</v>
      </c>
      <c r="C7" s="85" t="s">
        <v>87</v>
      </c>
      <c r="D7" s="87">
        <v>132</v>
      </c>
    </row>
    <row r="8" spans="2:4" x14ac:dyDescent="0.3">
      <c r="B8" s="107">
        <v>108</v>
      </c>
      <c r="C8" s="85" t="s">
        <v>88</v>
      </c>
      <c r="D8" s="87">
        <v>118</v>
      </c>
    </row>
    <row r="9" spans="2:4" ht="15" thickBot="1" x14ac:dyDescent="0.35">
      <c r="B9" s="108">
        <v>109</v>
      </c>
      <c r="C9" s="89" t="s">
        <v>86</v>
      </c>
      <c r="D9" s="90">
        <v>115</v>
      </c>
    </row>
    <row r="10" spans="2:4" ht="171.6" customHeight="1" x14ac:dyDescent="0.3"/>
  </sheetData>
  <mergeCells count="1">
    <mergeCell ref="B2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A29E-60DF-4AA0-9C79-F9F350E68BF2}">
  <dimension ref="B1:K22"/>
  <sheetViews>
    <sheetView showGridLines="0" zoomScale="80" zoomScaleNormal="80" workbookViewId="0">
      <selection activeCell="E14" sqref="A14:XFD14"/>
    </sheetView>
  </sheetViews>
  <sheetFormatPr defaultRowHeight="14.4" x14ac:dyDescent="0.3"/>
  <cols>
    <col min="1" max="1" width="2.77734375" customWidth="1"/>
    <col min="2" max="2" width="18.109375" customWidth="1"/>
    <col min="3" max="3" width="145.88671875" customWidth="1"/>
  </cols>
  <sheetData>
    <row r="1" spans="2:2" ht="15" thickBot="1" x14ac:dyDescent="0.35"/>
    <row r="2" spans="2:2" ht="15.6" x14ac:dyDescent="0.3">
      <c r="B2" s="66" t="s">
        <v>92</v>
      </c>
    </row>
    <row r="3" spans="2:2" x14ac:dyDescent="0.3">
      <c r="B3" s="110" t="s">
        <v>93</v>
      </c>
    </row>
    <row r="4" spans="2:2" x14ac:dyDescent="0.3">
      <c r="B4" s="110" t="s">
        <v>94</v>
      </c>
    </row>
    <row r="5" spans="2:2" x14ac:dyDescent="0.3">
      <c r="B5" s="110" t="s">
        <v>95</v>
      </c>
    </row>
    <row r="6" spans="2:2" ht="15" thickBot="1" x14ac:dyDescent="0.35">
      <c r="B6" s="111" t="s">
        <v>96</v>
      </c>
    </row>
    <row r="7" spans="2:2" ht="295.2" customHeight="1" x14ac:dyDescent="0.3"/>
    <row r="22" spans="11:11" x14ac:dyDescent="0.3">
      <c r="K22" t="s">
        <v>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45CA-740A-4935-AC8F-A9D7777C86B6}">
  <dimension ref="B1:I29"/>
  <sheetViews>
    <sheetView showGridLines="0" zoomScale="80" zoomScaleNormal="80" workbookViewId="0">
      <selection activeCell="N19" sqref="N19"/>
    </sheetView>
  </sheetViews>
  <sheetFormatPr defaultRowHeight="14.4" x14ac:dyDescent="0.3"/>
  <cols>
    <col min="1" max="1" width="3.33203125" customWidth="1"/>
    <col min="2" max="2" width="15.109375" customWidth="1"/>
    <col min="3" max="3" width="18.88671875" customWidth="1"/>
    <col min="4" max="4" width="22.5546875" customWidth="1"/>
    <col min="5" max="5" width="32.44140625" customWidth="1"/>
    <col min="6" max="6" width="15.109375" customWidth="1"/>
    <col min="7" max="7" width="18.88671875" customWidth="1"/>
    <col min="8" max="8" width="22.5546875" customWidth="1"/>
  </cols>
  <sheetData>
    <row r="1" spans="2:8" ht="10.199999999999999" customHeight="1" x14ac:dyDescent="0.3"/>
    <row r="2" spans="2:8" ht="18" thickBot="1" x14ac:dyDescent="0.35">
      <c r="B2" s="106" t="s">
        <v>98</v>
      </c>
      <c r="C2" s="106"/>
      <c r="D2" s="106"/>
      <c r="F2" s="135" t="s">
        <v>103</v>
      </c>
      <c r="G2" s="135"/>
      <c r="H2" s="135"/>
    </row>
    <row r="3" spans="2:8" ht="15.6" thickTop="1" thickBot="1" x14ac:dyDescent="0.35"/>
    <row r="4" spans="2:8" ht="15.6" x14ac:dyDescent="0.3">
      <c r="B4" s="55" t="s">
        <v>81</v>
      </c>
      <c r="C4" s="47" t="s">
        <v>82</v>
      </c>
      <c r="D4" s="48" t="s">
        <v>83</v>
      </c>
      <c r="F4" s="55" t="s">
        <v>81</v>
      </c>
      <c r="G4" s="47" t="s">
        <v>82</v>
      </c>
      <c r="H4" s="48" t="s">
        <v>83</v>
      </c>
    </row>
    <row r="5" spans="2:8" x14ac:dyDescent="0.3">
      <c r="B5" s="114">
        <v>101</v>
      </c>
      <c r="C5" s="112" t="str" cm="1">
        <f t="array" aca="1" ref="C5" ca="1">_xlfn.IFNA(VLOOKUP($B5, INDIRECT("'"&amp;INDEX(Lookup_Sheet_List,
MATCH(1, --(COUNTIF(INDIRECT("'" &amp; Lookup_Sheet_List &amp;
"'!$B$3:$B$6"), $B5)&gt;0), 0)) &amp; "'!$B$5:$D$9"), 2, FALSE), "Not found")</f>
        <v>Oranges</v>
      </c>
      <c r="D5" s="116" cm="1">
        <f t="array" aca="1" ref="D5" ca="1">_xlfn.IFNA(VLOOKUP($B5, INDIRECT("'"&amp;INDEX(Lookup_Sheet_List,MATCH(1, --(COUNTIF(INDIRECT("'" &amp; Lookup_Sheet_List &amp;"'!$B$3:$B$6"), $B5)&gt;0), 0)) &amp; "'!$B$5:$D$9"), 3, FALSE), "Not found")</f>
        <v>125</v>
      </c>
      <c r="F5" s="114">
        <v>101</v>
      </c>
      <c r="G5" s="112"/>
      <c r="H5" s="116"/>
    </row>
    <row r="6" spans="2:8" x14ac:dyDescent="0.3">
      <c r="B6" s="114">
        <v>102</v>
      </c>
      <c r="C6" s="112" t="str" cm="1">
        <f t="array" aca="1" ref="C6" ca="1">_xlfn.IFNA(VLOOKUP($B6, INDIRECT("'"&amp;INDEX(Lookup_Sheet_List, MATCH(1, --(COUNTIF(INDIRECT("'" &amp; Lookup_Sheet_List &amp; "'!$B$3:$B$6"), $B6)&gt;0), 0)) &amp; "'!$B$5:$D$9"), 2, FALSE), "Not found")</f>
        <v>Bananas</v>
      </c>
      <c r="D6" s="116" cm="1">
        <f t="array" aca="1" ref="D6" ca="1">_xlfn.IFNA(VLOOKUP($B6, INDIRECT("'"&amp;INDEX(Lookup_Sheet_List,
MATCH(1, --(COUNTIF(INDIRECT("'" &amp; Lookup_Sheet_List &amp;
"'!$B$3:$B$6"), $B6)&gt;0), 0)) &amp; "'!$B$5:$D$9"), 3, FALSE), "Not found")</f>
        <v>120</v>
      </c>
      <c r="F6" s="114">
        <v>102</v>
      </c>
      <c r="G6" s="112"/>
      <c r="H6" s="116"/>
    </row>
    <row r="7" spans="2:8" x14ac:dyDescent="0.3">
      <c r="B7" s="114">
        <v>103</v>
      </c>
      <c r="C7" s="112" t="str" cm="1">
        <f t="array" aca="1" ref="C7" ca="1">_xlfn.IFNA(VLOOKUP($B7, INDIRECT("'"&amp;INDEX(Lookup_Sheet_List, MATCH(1, --(COUNTIF(INDIRECT("'" &amp; Lookup_Sheet_List &amp; "'!$B$3:$B$6"), $B7)&gt;0), 0)) &amp; "'!$B$5:$D$9"), 2, FALSE), "Not found")</f>
        <v>Not found</v>
      </c>
      <c r="D7" s="116" t="str" cm="1">
        <f t="array" aca="1" ref="D7" ca="1">_xlfn.IFNA(VLOOKUP($B7, INDIRECT("'"&amp;INDEX(Lookup_Sheet_List,
MATCH(1, --(COUNTIF(INDIRECT("'" &amp; Lookup_Sheet_List &amp;
"'!$B$3:$B$6"), $B7)&gt;0), 0)) &amp; "'!$B$5:$D$9"), 3, FALSE), "Not found")</f>
        <v>Not found</v>
      </c>
      <c r="F7" s="114">
        <v>103</v>
      </c>
      <c r="G7" s="112"/>
      <c r="H7" s="116"/>
    </row>
    <row r="8" spans="2:8" x14ac:dyDescent="0.3">
      <c r="B8" s="114">
        <v>104</v>
      </c>
      <c r="C8" s="112" t="str" cm="1">
        <f t="array" aca="1" ref="C8" ca="1">_xlfn.IFNA(VLOOKUP($B8, INDIRECT("'"&amp;INDEX(Lookup_Sheet_List, MATCH(1, --(COUNTIF(INDIRECT("'" &amp; Lookup_Sheet_List &amp; "'!$B$3:$B$6"), $B8)&gt;0), 0)) &amp; "'!$B$5:$D$9"), 2, FALSE), "Not found")</f>
        <v>Not found</v>
      </c>
      <c r="D8" s="116" t="str" cm="1">
        <f t="array" aca="1" ref="D8" ca="1">_xlfn.IFNA(VLOOKUP($B8, INDIRECT("'"&amp;INDEX(Lookup_Sheet_List,
MATCH(1, --(COUNTIF(INDIRECT("'" &amp; Lookup_Sheet_List &amp;
"'!$B$3:$B$6"), $B8)&gt;0), 0)) &amp; "'!$B$5:$D$9"), 3, FALSE), "Not found")</f>
        <v>Not found</v>
      </c>
      <c r="F8" s="114">
        <v>104</v>
      </c>
      <c r="G8" s="112"/>
      <c r="H8" s="116"/>
    </row>
    <row r="9" spans="2:8" x14ac:dyDescent="0.3">
      <c r="B9" s="114">
        <v>105</v>
      </c>
      <c r="C9" s="112" t="str" cm="1">
        <f t="array" aca="1" ref="C9" ca="1">_xlfn.IFNA(VLOOKUP($B9, INDIRECT("'"&amp;INDEX(Lookup_Sheet_List, MATCH(1, --(COUNTIF(INDIRECT("'" &amp; Lookup_Sheet_List &amp; "'!$B$3:$B$6"), $B9)&gt;0), 0)) &amp; "'!$B$5:$D$9"), 2, FALSE), "Not found")</f>
        <v>Bananas</v>
      </c>
      <c r="D9" s="116" cm="1">
        <f t="array" aca="1" ref="D9" ca="1">_xlfn.IFNA(VLOOKUP($B9, INDIRECT("'"&amp;INDEX(Lookup_Sheet_List,
MATCH(1, --(COUNTIF(INDIRECT("'" &amp; Lookup_Sheet_List &amp;
"'!$B$3:$B$6"), $B9)&gt;0), 0)) &amp; "'!$B$5:$D$9"), 3, FALSE), "Not found")</f>
        <v>100</v>
      </c>
      <c r="F9" s="114">
        <v>105</v>
      </c>
      <c r="G9" s="112"/>
      <c r="H9" s="116"/>
    </row>
    <row r="10" spans="2:8" x14ac:dyDescent="0.3">
      <c r="B10" s="114">
        <v>110</v>
      </c>
      <c r="C10" s="112" t="str" cm="1">
        <f t="array" aca="1" ref="C10" ca="1">_xlfn.IFNA(VLOOKUP($B10, INDIRECT("'"&amp;INDEX(Lookup_Sheet_List, MATCH(1, --(COUNTIF(INDIRECT("'" &amp; Lookup_Sheet_List &amp; "'!$B$3:$B$6"), $B10)&gt;0), 0)) &amp; "'!$B$5:$D$9"), 2, FALSE), "Not found")</f>
        <v>Not found</v>
      </c>
      <c r="D10" s="116" t="str" cm="1">
        <f t="array" aca="1" ref="D10" ca="1">_xlfn.IFNA(VLOOKUP($B10, INDIRECT("'"&amp;INDEX(Lookup_Sheet_List,
MATCH(1, --(COUNTIF(INDIRECT("'" &amp; Lookup_Sheet_List &amp;
"'!$B$3:$B$6"), $B10)&gt;0), 0)) &amp; "'!$B$5:$D$9"), 3, FALSE), "Not found")</f>
        <v>Not found</v>
      </c>
      <c r="F10" s="114">
        <v>110</v>
      </c>
      <c r="G10" s="112"/>
      <c r="H10" s="116"/>
    </row>
    <row r="11" spans="2:8" x14ac:dyDescent="0.3">
      <c r="B11" s="114">
        <v>111</v>
      </c>
      <c r="C11" s="112" t="str" cm="1">
        <f t="array" aca="1" ref="C11" ca="1">_xlfn.IFNA(VLOOKUP($B11, INDIRECT("'"&amp;INDEX(Lookup_Sheet_List, MATCH(1, --(COUNTIF(INDIRECT("'" &amp; Lookup_Sheet_List &amp; "'!$B$3:$B$6"), $B11)&gt;0), 0)) &amp; "'!$B$5:$D$9"), 2, FALSE), "Not found")</f>
        <v>Oranges</v>
      </c>
      <c r="D11" s="116" cm="1">
        <f t="array" aca="1" ref="D11" ca="1">_xlfn.IFNA(VLOOKUP($B11, INDIRECT("'"&amp;INDEX(Lookup_Sheet_List,
MATCH(1, --(COUNTIF(INDIRECT("'" &amp; Lookup_Sheet_List &amp;
"'!$B$3:$B$6"), $B11)&gt;0), 0)) &amp; "'!$B$5:$D$9"), 3, FALSE), "Not found")</f>
        <v>120</v>
      </c>
      <c r="F11" s="114">
        <v>111</v>
      </c>
      <c r="G11" s="112"/>
      <c r="H11" s="116"/>
    </row>
    <row r="12" spans="2:8" x14ac:dyDescent="0.3">
      <c r="B12" s="114">
        <v>112</v>
      </c>
      <c r="C12" s="112" t="str" cm="1">
        <f t="array" aca="1" ref="C12" ca="1">_xlfn.IFNA(VLOOKUP($B12, INDIRECT("'"&amp;INDEX(Lookup_Sheet_List, MATCH(1, --(COUNTIF(INDIRECT("'" &amp; Lookup_Sheet_List &amp; "'!$B$3:$B$6"), $B12)&gt;0), 0)) &amp; "'!$B$5:$D$9"), 2, FALSE), "Not found")</f>
        <v>Not found</v>
      </c>
      <c r="D12" s="116" t="str" cm="1">
        <f t="array" aca="1" ref="D12" ca="1">_xlfn.IFNA(VLOOKUP($B12, INDIRECT("'"&amp;INDEX(Lookup_Sheet_List,
MATCH(1, --(COUNTIF(INDIRECT("'" &amp; Lookup_Sheet_List &amp;
"'!$B$3:$B$6"), $B12)&gt;0), 0)) &amp; "'!$B$5:$D$9"), 3, FALSE), "Not found")</f>
        <v>Not found</v>
      </c>
      <c r="F12" s="114">
        <v>112</v>
      </c>
      <c r="G12" s="112"/>
      <c r="H12" s="116"/>
    </row>
    <row r="13" spans="2:8" x14ac:dyDescent="0.3">
      <c r="B13" s="114">
        <v>113</v>
      </c>
      <c r="C13" s="112" t="str" cm="1">
        <f t="array" aca="1" ref="C13" ca="1">_xlfn.IFNA(VLOOKUP($B13, INDIRECT("'"&amp;INDEX(Lookup_Sheet_List, MATCH(1, --(COUNTIF(INDIRECT("'" &amp; Lookup_Sheet_List &amp; "'!$B$3:$B$6"), $B13)&gt;0), 0)) &amp; "'!$B$5:$D$9"), 2, FALSE), "Not found")</f>
        <v>Bananas</v>
      </c>
      <c r="D13" s="116" cm="1">
        <f t="array" aca="1" ref="D13" ca="1">_xlfn.IFNA(VLOOKUP($B13, INDIRECT("'"&amp;INDEX(Lookup_Sheet_List,
MATCH(1, --(COUNTIF(INDIRECT("'" &amp; Lookup_Sheet_List &amp;
"'!$B$3:$B$6"), $B13)&gt;0), 0)) &amp; "'!$B$5:$D$9"), 3, FALSE), "Not found")</f>
        <v>120</v>
      </c>
      <c r="F13" s="114">
        <v>113</v>
      </c>
      <c r="G13" s="112"/>
      <c r="H13" s="116"/>
    </row>
    <row r="14" spans="2:8" x14ac:dyDescent="0.3">
      <c r="B14" s="114">
        <v>114</v>
      </c>
      <c r="C14" s="112" t="str" cm="1">
        <f t="array" aca="1" ref="C14" ca="1">_xlfn.IFNA(VLOOKUP($B14, INDIRECT("'"&amp;INDEX(Lookup_Sheet_List, MATCH(1, --(COUNTIF(INDIRECT("'" &amp; Lookup_Sheet_List &amp; "'!$B$3:$B$6"), $B14)&gt;0), 0)) &amp; "'!$B$5:$D$9"), 2, FALSE), "Not found")</f>
        <v>Oranges</v>
      </c>
      <c r="D14" s="116" cm="1">
        <f t="array" aca="1" ref="D14" ca="1">_xlfn.IFNA(VLOOKUP($B14, INDIRECT("'"&amp;INDEX(Lookup_Sheet_List,
MATCH(1, --(COUNTIF(INDIRECT("'" &amp; Lookup_Sheet_List &amp;
"'!$B$3:$B$6"), $B14)&gt;0), 0)) &amp; "'!$B$5:$D$9"), 3, FALSE), "Not found")</f>
        <v>127</v>
      </c>
      <c r="F14" s="114">
        <v>114</v>
      </c>
      <c r="G14" s="112"/>
      <c r="H14" s="116"/>
    </row>
    <row r="15" spans="2:8" x14ac:dyDescent="0.3">
      <c r="B15" s="114">
        <v>115</v>
      </c>
      <c r="C15" s="112" t="str" cm="1">
        <f t="array" aca="1" ref="C15" ca="1">_xlfn.IFNA(VLOOKUP($B15, INDIRECT("'"&amp;INDEX(Lookup_Sheet_List, MATCH(1, --(COUNTIF(INDIRECT("'" &amp; Lookup_Sheet_List &amp; "'!$B$3:$B$6"), $B15)&gt;0), 0)) &amp; "'!$B$5:$D$9"), 2, FALSE), "Not found")</f>
        <v>Not found</v>
      </c>
      <c r="D15" s="116" t="str" cm="1">
        <f t="array" aca="1" ref="D15" ca="1">_xlfn.IFNA(VLOOKUP($B15, INDIRECT("'"&amp;INDEX(Lookup_Sheet_List,
MATCH(1, --(COUNTIF(INDIRECT("'" &amp; Lookup_Sheet_List &amp;
"'!$B$3:$B$6"), $B15)&gt;0), 0)) &amp; "'!$B$5:$D$9"), 3, FALSE), "Not found")</f>
        <v>Not found</v>
      </c>
      <c r="F15" s="114">
        <v>115</v>
      </c>
      <c r="G15" s="112"/>
      <c r="H15" s="116"/>
    </row>
    <row r="16" spans="2:8" x14ac:dyDescent="0.3">
      <c r="B16" s="114">
        <v>116</v>
      </c>
      <c r="C16" s="112" t="str" cm="1">
        <f t="array" aca="1" ref="C16" ca="1">_xlfn.IFNA(VLOOKUP($B16, INDIRECT("'"&amp;INDEX(Lookup_Sheet_List, MATCH(1, --(COUNTIF(INDIRECT("'" &amp; Lookup_Sheet_List &amp; "'!$B$3:$B$6"), $B16)&gt;0), 0)) &amp; "'!$B$5:$D$9"), 2, FALSE), "Not found")</f>
        <v>Oranges</v>
      </c>
      <c r="D16" s="116" cm="1">
        <f t="array" aca="1" ref="D16" ca="1">_xlfn.IFNA(VLOOKUP($B16, INDIRECT("'"&amp;INDEX(Lookup_Sheet_List,
MATCH(1, --(COUNTIF(INDIRECT("'" &amp; Lookup_Sheet_List &amp;
"'!$B$3:$B$6"), $B16)&gt;0), 0)) &amp; "'!$B$5:$D$9"), 3, FALSE), "Not found")</f>
        <v>115</v>
      </c>
      <c r="F16" s="114">
        <v>116</v>
      </c>
      <c r="G16" s="112"/>
      <c r="H16" s="116"/>
    </row>
    <row r="17" spans="2:9" x14ac:dyDescent="0.3">
      <c r="B17" s="114">
        <v>117</v>
      </c>
      <c r="C17" s="112" t="str" cm="1">
        <f t="array" aca="1" ref="C17" ca="1">_xlfn.IFNA(VLOOKUP($B17, INDIRECT("'"&amp;INDEX(Lookup_Sheet_List, MATCH(1, --(COUNTIF(INDIRECT("'" &amp; Lookup_Sheet_List &amp; "'!$B$3:$B$6"), $B17)&gt;0), 0)) &amp; "'!$B$5:$D$9"), 2, FALSE), "Not found")</f>
        <v>Not found</v>
      </c>
      <c r="D17" s="116" t="str" cm="1">
        <f t="array" aca="1" ref="D17" ca="1">_xlfn.IFNA(VLOOKUP($B17, INDIRECT("'"&amp;INDEX(Lookup_Sheet_List,
MATCH(1, --(COUNTIF(INDIRECT("'" &amp; Lookup_Sheet_List &amp;
"'!$B$3:$B$6"), $B17)&gt;0), 0)) &amp; "'!$B$5:$D$9"), 3, FALSE), "Not found")</f>
        <v>Not found</v>
      </c>
      <c r="F17" s="114">
        <v>117</v>
      </c>
      <c r="G17" s="112"/>
      <c r="H17" s="116"/>
    </row>
    <row r="18" spans="2:9" ht="15" thickBot="1" x14ac:dyDescent="0.35">
      <c r="B18" s="115">
        <v>118</v>
      </c>
      <c r="C18" s="113" t="str" cm="1">
        <f t="array" aca="1" ref="C18" ca="1">_xlfn.IFNA(VLOOKUP($B18, INDIRECT("'"&amp;INDEX(Lookup_Sheet_List, MATCH(1, --(COUNTIF(INDIRECT("'" &amp; Lookup_Sheet_List &amp; "'!$B$3:$B$6"), $B18)&gt;0), 0)) &amp; "'!$B$5:$D$9"), 2, FALSE), "Not found")</f>
        <v>Bananas</v>
      </c>
      <c r="D18" s="117" cm="1">
        <f t="array" aca="1" ref="D18" ca="1">_xlfn.IFNA(VLOOKUP($B18, INDIRECT("'"&amp;INDEX(Lookup_Sheet_List,
MATCH(1, --(COUNTIF(INDIRECT("'" &amp; Lookup_Sheet_List &amp;
"'!$B$3:$B$6"), $B18)&gt;0), 0)) &amp; "'!$B$5:$D$9"), 3, FALSE), "Not found")</f>
        <v>118</v>
      </c>
      <c r="F18" s="115">
        <v>118</v>
      </c>
      <c r="G18" s="113"/>
      <c r="H18" s="117"/>
    </row>
    <row r="19" spans="2:9" ht="109.8" customHeight="1" x14ac:dyDescent="0.3"/>
    <row r="29" spans="2:9" x14ac:dyDescent="0.3">
      <c r="I29" t="s">
        <v>97</v>
      </c>
    </row>
  </sheetData>
  <mergeCells count="2">
    <mergeCell ref="B2:D2"/>
    <mergeCell ref="F2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08F0-7DA1-438D-9675-A38A5A76BAC9}">
  <dimension ref="B2:N10"/>
  <sheetViews>
    <sheetView showGridLines="0" zoomScale="80" zoomScaleNormal="80" workbookViewId="0">
      <selection activeCell="H10" sqref="H10"/>
    </sheetView>
  </sheetViews>
  <sheetFormatPr defaultRowHeight="14.4" x14ac:dyDescent="0.3"/>
  <cols>
    <col min="1" max="1" width="3.33203125" customWidth="1"/>
    <col min="2" max="2" width="18" style="3" customWidth="1"/>
    <col min="3" max="3" width="16.5546875" style="3" customWidth="1"/>
    <col min="4" max="4" width="14.33203125" style="3" customWidth="1"/>
    <col min="5" max="5" width="3.77734375" style="3" customWidth="1"/>
    <col min="6" max="6" width="7.21875" style="3" customWidth="1"/>
    <col min="7" max="7" width="15.6640625" style="3" customWidth="1"/>
    <col min="8" max="8" width="54.33203125" customWidth="1"/>
    <col min="9" max="9" width="18" style="3" customWidth="1"/>
    <col min="10" max="10" width="16.5546875" style="3" customWidth="1"/>
    <col min="11" max="11" width="14.33203125" style="3" customWidth="1"/>
    <col min="12" max="12" width="3.77734375" style="3" customWidth="1"/>
    <col min="13" max="13" width="7.21875" style="3" customWidth="1"/>
    <col min="14" max="14" width="15.6640625" style="3" customWidth="1"/>
  </cols>
  <sheetData>
    <row r="2" spans="2:14" ht="18" thickBot="1" x14ac:dyDescent="0.4">
      <c r="B2" s="22" t="s">
        <v>99</v>
      </c>
      <c r="C2" s="22"/>
      <c r="D2" s="22"/>
      <c r="I2" s="126" t="s">
        <v>101</v>
      </c>
      <c r="J2" s="126"/>
      <c r="K2" s="126"/>
    </row>
    <row r="3" spans="2:14" ht="15.6" thickTop="1" thickBot="1" x14ac:dyDescent="0.35"/>
    <row r="4" spans="2:14" ht="15.6" x14ac:dyDescent="0.3">
      <c r="B4" s="55" t="s">
        <v>37</v>
      </c>
      <c r="C4" s="47" t="s">
        <v>17</v>
      </c>
      <c r="D4" s="48" t="s">
        <v>19</v>
      </c>
      <c r="F4" s="77" t="s">
        <v>49</v>
      </c>
      <c r="G4" s="76" t="s">
        <v>1</v>
      </c>
      <c r="I4" s="55" t="s">
        <v>37</v>
      </c>
      <c r="J4" s="47" t="s">
        <v>17</v>
      </c>
      <c r="K4" s="48" t="s">
        <v>19</v>
      </c>
      <c r="M4" s="77" t="s">
        <v>49</v>
      </c>
      <c r="N4" s="76"/>
    </row>
    <row r="5" spans="2:14" ht="16.2" thickBot="1" x14ac:dyDescent="0.35">
      <c r="B5" s="11">
        <v>121</v>
      </c>
      <c r="C5" s="32" t="s">
        <v>0</v>
      </c>
      <c r="D5" s="13">
        <v>25000</v>
      </c>
      <c r="F5" s="30" t="s">
        <v>48</v>
      </c>
      <c r="G5" s="118">
        <f>VLOOKUP(G4,IF({1,0},C5:C9,B5:B9),2,0)</f>
        <v>135</v>
      </c>
      <c r="I5" s="11">
        <v>121</v>
      </c>
      <c r="J5" s="32" t="s">
        <v>0</v>
      </c>
      <c r="K5" s="13">
        <v>25000</v>
      </c>
      <c r="M5" s="30" t="s">
        <v>48</v>
      </c>
      <c r="N5" s="118"/>
    </row>
    <row r="6" spans="2:14" x14ac:dyDescent="0.3">
      <c r="B6" s="16">
        <v>135</v>
      </c>
      <c r="C6" s="53" t="s">
        <v>1</v>
      </c>
      <c r="D6" s="79">
        <v>28000</v>
      </c>
      <c r="E6" s="49"/>
      <c r="I6" s="101">
        <v>135</v>
      </c>
      <c r="J6" s="64" t="s">
        <v>1</v>
      </c>
      <c r="K6" s="79">
        <v>28000</v>
      </c>
      <c r="L6" s="49"/>
    </row>
    <row r="7" spans="2:14" x14ac:dyDescent="0.3">
      <c r="B7" s="74">
        <v>169</v>
      </c>
      <c r="C7" s="78" t="s">
        <v>2</v>
      </c>
      <c r="D7" s="75">
        <v>22000</v>
      </c>
      <c r="E7" s="49"/>
      <c r="F7" s="49"/>
      <c r="I7" s="74">
        <v>169</v>
      </c>
      <c r="J7" s="78" t="s">
        <v>2</v>
      </c>
      <c r="K7" s="75">
        <v>22000</v>
      </c>
      <c r="L7" s="49"/>
      <c r="M7" s="49"/>
    </row>
    <row r="8" spans="2:14" x14ac:dyDescent="0.3">
      <c r="B8" s="11">
        <v>177</v>
      </c>
      <c r="C8" s="32" t="s">
        <v>3</v>
      </c>
      <c r="D8" s="13">
        <v>25000</v>
      </c>
      <c r="I8" s="11">
        <v>177</v>
      </c>
      <c r="J8" s="32" t="s">
        <v>3</v>
      </c>
      <c r="K8" s="13">
        <v>25000</v>
      </c>
    </row>
    <row r="9" spans="2:14" ht="15" thickBot="1" x14ac:dyDescent="0.35">
      <c r="B9" s="19">
        <v>182</v>
      </c>
      <c r="C9" s="61" t="s">
        <v>4</v>
      </c>
      <c r="D9" s="21">
        <v>30000</v>
      </c>
      <c r="I9" s="19">
        <v>182</v>
      </c>
      <c r="J9" s="61" t="s">
        <v>4</v>
      </c>
      <c r="K9" s="21">
        <v>30000</v>
      </c>
    </row>
    <row r="10" spans="2:14" ht="182.4" customHeight="1" x14ac:dyDescent="0.3"/>
  </sheetData>
  <mergeCells count="2">
    <mergeCell ref="B2:D2"/>
    <mergeCell ref="I2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1D42-42B7-438B-8B7F-88971CE496D7}">
  <dimension ref="B1:F22"/>
  <sheetViews>
    <sheetView showGridLines="0" tabSelected="1" zoomScale="80" zoomScaleNormal="80" workbookViewId="0">
      <selection activeCell="G9" sqref="G9"/>
    </sheetView>
  </sheetViews>
  <sheetFormatPr defaultRowHeight="14.4" x14ac:dyDescent="0.3"/>
  <cols>
    <col min="1" max="1" width="3.44140625" customWidth="1"/>
    <col min="2" max="2" width="17" style="1" customWidth="1"/>
    <col min="3" max="3" width="24.5546875" style="1" customWidth="1"/>
    <col min="4" max="4" width="18.33203125" style="1" customWidth="1"/>
    <col min="5" max="5" width="5" style="1" customWidth="1"/>
    <col min="6" max="6" width="19" style="1" bestFit="1" customWidth="1"/>
    <col min="7" max="7" width="54.5546875" customWidth="1"/>
  </cols>
  <sheetData>
    <row r="1" spans="2:6" ht="17.399999999999999" x14ac:dyDescent="0.3">
      <c r="B1" s="50"/>
      <c r="C1" s="50"/>
      <c r="D1" s="50"/>
      <c r="E1" s="50"/>
      <c r="F1" s="2"/>
    </row>
    <row r="2" spans="2:6" ht="18.600000000000001" thickBot="1" x14ac:dyDescent="0.4">
      <c r="B2" s="22" t="s">
        <v>100</v>
      </c>
      <c r="C2" s="22"/>
      <c r="D2" s="22"/>
      <c r="E2" s="50"/>
      <c r="F2" s="2"/>
    </row>
    <row r="3" spans="2:6" ht="15.6" thickTop="1" thickBot="1" x14ac:dyDescent="0.35"/>
    <row r="4" spans="2:6" ht="15.6" x14ac:dyDescent="0.3">
      <c r="B4" s="55" t="s">
        <v>37</v>
      </c>
      <c r="C4" s="47" t="s">
        <v>17</v>
      </c>
      <c r="D4" s="48" t="s">
        <v>19</v>
      </c>
      <c r="F4" s="121" t="s">
        <v>49</v>
      </c>
    </row>
    <row r="5" spans="2:6" x14ac:dyDescent="0.3">
      <c r="B5" s="56">
        <v>121</v>
      </c>
      <c r="C5" s="32" t="s">
        <v>0</v>
      </c>
      <c r="D5" s="57">
        <v>25000</v>
      </c>
      <c r="F5" s="120" t="s">
        <v>10</v>
      </c>
    </row>
    <row r="6" spans="2:6" ht="15.6" x14ac:dyDescent="0.3">
      <c r="B6" s="56">
        <v>135</v>
      </c>
      <c r="C6" s="32" t="s">
        <v>1</v>
      </c>
      <c r="D6" s="57">
        <v>28000</v>
      </c>
      <c r="F6" s="122" t="s">
        <v>48</v>
      </c>
    </row>
    <row r="7" spans="2:6" ht="15" thickBot="1" x14ac:dyDescent="0.35">
      <c r="B7" s="56">
        <v>169</v>
      </c>
      <c r="C7" s="32" t="s">
        <v>2</v>
      </c>
      <c r="D7" s="58">
        <v>22000</v>
      </c>
      <c r="F7" s="125">
        <f>VLOOKUP(F5,C5:D21,2,FALSE)</f>
        <v>28000</v>
      </c>
    </row>
    <row r="8" spans="2:6" x14ac:dyDescent="0.3">
      <c r="B8" s="56">
        <v>177</v>
      </c>
      <c r="C8" s="124" t="s">
        <v>3</v>
      </c>
      <c r="D8" s="123">
        <v>25000</v>
      </c>
    </row>
    <row r="9" spans="2:6" x14ac:dyDescent="0.3">
      <c r="B9" s="56">
        <v>182</v>
      </c>
      <c r="C9" s="32" t="s">
        <v>4</v>
      </c>
      <c r="D9" s="57">
        <v>30000</v>
      </c>
    </row>
    <row r="10" spans="2:6" x14ac:dyDescent="0.3">
      <c r="B10" s="56">
        <v>143</v>
      </c>
      <c r="C10" s="32" t="s">
        <v>3</v>
      </c>
      <c r="D10" s="57">
        <v>32000</v>
      </c>
    </row>
    <row r="11" spans="2:6" x14ac:dyDescent="0.3">
      <c r="B11" s="63">
        <v>293</v>
      </c>
      <c r="C11" s="64" t="s">
        <v>5</v>
      </c>
      <c r="D11" s="65">
        <v>22200</v>
      </c>
    </row>
    <row r="12" spans="2:6" x14ac:dyDescent="0.3">
      <c r="B12" s="63">
        <v>203</v>
      </c>
      <c r="C12" s="64" t="s">
        <v>6</v>
      </c>
      <c r="D12" s="65">
        <v>25000</v>
      </c>
    </row>
    <row r="13" spans="2:6" x14ac:dyDescent="0.3">
      <c r="B13" s="63">
        <v>101</v>
      </c>
      <c r="C13" s="53" t="s">
        <v>10</v>
      </c>
      <c r="D13" s="54">
        <v>28000</v>
      </c>
    </row>
    <row r="14" spans="2:6" x14ac:dyDescent="0.3">
      <c r="B14" s="63">
        <v>131</v>
      </c>
      <c r="C14" s="64" t="s">
        <v>7</v>
      </c>
      <c r="D14" s="65">
        <v>33000</v>
      </c>
    </row>
    <row r="15" spans="2:6" x14ac:dyDescent="0.3">
      <c r="B15" s="63">
        <v>189</v>
      </c>
      <c r="C15" s="64" t="s">
        <v>8</v>
      </c>
      <c r="D15" s="65">
        <v>40000</v>
      </c>
    </row>
    <row r="16" spans="2:6" x14ac:dyDescent="0.3">
      <c r="B16" s="63">
        <v>177</v>
      </c>
      <c r="C16" s="64" t="s">
        <v>9</v>
      </c>
      <c r="D16" s="65">
        <v>18000</v>
      </c>
    </row>
    <row r="17" spans="2:4" x14ac:dyDescent="0.3">
      <c r="B17" s="63">
        <v>309</v>
      </c>
      <c r="C17" s="53" t="s">
        <v>10</v>
      </c>
      <c r="D17" s="54">
        <v>24000</v>
      </c>
    </row>
    <row r="18" spans="2:4" x14ac:dyDescent="0.3">
      <c r="B18" s="63">
        <v>317</v>
      </c>
      <c r="C18" s="64" t="s">
        <v>11</v>
      </c>
      <c r="D18" s="65">
        <v>26000</v>
      </c>
    </row>
    <row r="19" spans="2:4" x14ac:dyDescent="0.3">
      <c r="B19" s="63">
        <v>267</v>
      </c>
      <c r="C19" s="64" t="s">
        <v>12</v>
      </c>
      <c r="D19" s="65">
        <v>25000</v>
      </c>
    </row>
    <row r="20" spans="2:4" x14ac:dyDescent="0.3">
      <c r="B20" s="63">
        <v>372</v>
      </c>
      <c r="C20" s="64" t="s">
        <v>13</v>
      </c>
      <c r="D20" s="65">
        <v>20000</v>
      </c>
    </row>
    <row r="21" spans="2:4" ht="15" thickBot="1" x14ac:dyDescent="0.35">
      <c r="B21" s="60">
        <v>240</v>
      </c>
      <c r="C21" s="61" t="s">
        <v>14</v>
      </c>
      <c r="D21" s="62">
        <v>30000</v>
      </c>
    </row>
    <row r="22" spans="2:4" ht="85.8" customHeight="1" x14ac:dyDescent="0.3"/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Overview</vt:lpstr>
      <vt:lpstr>Basic Use</vt:lpstr>
      <vt:lpstr>Max. Value</vt:lpstr>
      <vt:lpstr>Max. n Values</vt:lpstr>
      <vt:lpstr>Approx Match</vt:lpstr>
      <vt:lpstr>Multiple Lookup</vt:lpstr>
      <vt:lpstr>Multiple Criteria CHOOSE</vt:lpstr>
      <vt:lpstr>Multiple Criteria MATCH</vt:lpstr>
      <vt:lpstr>Jan</vt:lpstr>
      <vt:lpstr>Feb</vt:lpstr>
      <vt:lpstr>Mar</vt:lpstr>
      <vt:lpstr>Apr</vt:lpstr>
      <vt:lpstr>Lookup Sheet List</vt:lpstr>
      <vt:lpstr>VLOOKUP-INDIRECT</vt:lpstr>
      <vt:lpstr>Left VLOOKUP</vt:lpstr>
      <vt:lpstr>Limitation</vt:lpstr>
      <vt:lpstr>Lookup_Sheet_List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2022-11-09T11:45:38Z</dcterms:modified>
</cp:coreProperties>
</file>