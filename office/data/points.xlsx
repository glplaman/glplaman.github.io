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lplaman.github.io\office\data\"/>
    </mc:Choice>
  </mc:AlternateContent>
  <xr:revisionPtr revIDLastSave="0" documentId="13_ncr:1_{C7C67633-84B7-421C-81FD-DDA52176AB51}" xr6:coauthVersionLast="47" xr6:coauthVersionMax="47" xr10:uidLastSave="{00000000-0000-0000-0000-000000000000}"/>
  <bookViews>
    <workbookView xWindow="-120" yWindow="-120" windowWidth="29040" windowHeight="15720" activeTab="2" xr2:uid="{AAF20871-24EE-4F50-B2BF-F06360A70BFE}"/>
  </bookViews>
  <sheets>
    <sheet name="基本内容" sheetId="1" r:id="rId1"/>
    <sheet name="样式篇" sheetId="25" r:id="rId2"/>
    <sheet name="格式篇" sheetId="38" r:id="rId3"/>
    <sheet name="公式篇" sheetId="20" r:id="rId4"/>
    <sheet name="图表篇" sheetId="39" r:id="rId5"/>
    <sheet name="应用篇" sheetId="37" r:id="rId6"/>
    <sheet name="快捷键篇" sheetId="15" r:id="rId7"/>
    <sheet name="示例" sheetId="16" r:id="rId8"/>
    <sheet name="透视表" sheetId="17" r:id="rId9"/>
    <sheet name="切片器" sheetId="18" r:id="rId10"/>
  </sheets>
  <definedNames>
    <definedName name="_xlnm._FilterDatabase" localSheetId="0" hidden="1">基本内容!#REF!</definedName>
    <definedName name="_xlnm._FilterDatabase" localSheetId="1" hidden="1">样式篇!#REF!</definedName>
    <definedName name="_xlnm.Criteria" localSheetId="1">样式篇!#REF!</definedName>
    <definedName name="_xlnm.Print_Area" localSheetId="1">样式篇!#REF!</definedName>
    <definedName name="stu">样式篇!#REF!</definedName>
    <definedName name="tu">样式篇!#REF!</definedName>
    <definedName name="_xlnm.Extract" localSheetId="1">样式篇!#REF!</definedName>
    <definedName name="西式">应用篇!#REF!</definedName>
    <definedName name="中式">应用篇!#REF!</definedName>
  </definedNames>
  <calcPr calcId="191029"/>
  <pivotCaches>
    <pivotCache cacheId="0" r:id="rId1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1" i="20" l="1"/>
  <c r="D69" i="20"/>
  <c r="D62" i="20"/>
  <c r="D63" i="20"/>
  <c r="D64" i="20"/>
  <c r="D65" i="20"/>
  <c r="D66" i="20"/>
  <c r="D67" i="20"/>
  <c r="D68" i="20"/>
  <c r="D61" i="20"/>
  <c r="D60" i="20"/>
  <c r="D59" i="20"/>
  <c r="F54" i="20"/>
  <c r="F28" i="20"/>
  <c r="F4" i="20" l="1"/>
  <c r="G54" i="20"/>
  <c r="O26" i="16"/>
  <c r="Y4" i="37"/>
  <c r="Y5" i="37"/>
  <c r="Y3" i="37"/>
  <c r="H4" i="37"/>
  <c r="J14" i="37"/>
  <c r="J15" i="37"/>
  <c r="J5" i="37"/>
  <c r="J6" i="37"/>
  <c r="J7" i="37"/>
  <c r="J8" i="37"/>
  <c r="J9" i="37"/>
  <c r="J10" i="37"/>
  <c r="J11" i="37"/>
  <c r="J12" i="37"/>
  <c r="J13" i="37"/>
  <c r="J4" i="37"/>
  <c r="F55" i="20"/>
  <c r="F56" i="20"/>
  <c r="F57" i="20"/>
  <c r="R13" i="37"/>
  <c r="U4" i="37"/>
  <c r="U5" i="37"/>
  <c r="S13" i="37" s="1"/>
  <c r="U6" i="37"/>
  <c r="U7" i="37"/>
  <c r="U3" i="37"/>
  <c r="O19" i="37"/>
  <c r="O20" i="37"/>
  <c r="O21" i="37"/>
  <c r="O18" i="37"/>
  <c r="N19" i="37"/>
  <c r="N20" i="37"/>
  <c r="N21" i="37"/>
  <c r="N18" i="37"/>
  <c r="M19" i="37"/>
  <c r="M20" i="37"/>
  <c r="M21" i="37"/>
  <c r="M18" i="37"/>
  <c r="G23" i="20"/>
  <c r="F23" i="20"/>
  <c r="D3" i="37"/>
  <c r="F53" i="20"/>
  <c r="F52" i="20"/>
  <c r="G12" i="37" l="1"/>
  <c r="G8" i="37"/>
  <c r="G7" i="37"/>
  <c r="G4" i="37"/>
  <c r="G5" i="37"/>
  <c r="G15" i="37"/>
  <c r="G6" i="37"/>
  <c r="G13" i="37"/>
  <c r="G14" i="37"/>
  <c r="G10" i="37"/>
  <c r="G9" i="37"/>
  <c r="G11" i="37"/>
  <c r="I6" i="37"/>
  <c r="I5" i="37"/>
  <c r="I4" i="37"/>
  <c r="F31" i="20"/>
  <c r="D17" i="20"/>
  <c r="F17" i="20"/>
  <c r="F16" i="20"/>
  <c r="F19" i="20"/>
  <c r="F18" i="20"/>
  <c r="F5" i="20"/>
  <c r="F26" i="20"/>
  <c r="F41" i="20"/>
  <c r="F36" i="20"/>
  <c r="F6" i="20"/>
  <c r="F25" i="20"/>
  <c r="F24" i="20"/>
  <c r="F27" i="20"/>
  <c r="F50" i="20"/>
  <c r="F49" i="20"/>
  <c r="F51" i="20"/>
  <c r="F15" i="20"/>
  <c r="F42" i="20"/>
  <c r="F35" i="20"/>
  <c r="F2" i="20"/>
  <c r="F34" i="20"/>
  <c r="C6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F7" authorId="0" shapeId="0" xr:uid="{19630C09-F5A1-4F3F-B5B9-E6B066E16883}">
      <text/>
    </comment>
    <comment ref="F8" authorId="0" shapeId="0" xr:uid="{704C0B7B-5A15-41A7-8DD7-4F02DCC31E45}">
      <text/>
    </comment>
    <comment ref="F9" authorId="0" shapeId="0" xr:uid="{EBB105C7-F7D8-4FAE-A25D-F789216F8F7A}">
      <text/>
    </comment>
    <comment ref="F12" authorId="0" shapeId="0" xr:uid="{900ED236-CDFA-4683-A753-D363B57E4294}">
      <text/>
    </comment>
    <comment ref="F30" authorId="0" shapeId="0" xr:uid="{7D8ED5B6-4429-42F6-A93A-EFD15A2965FD}">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cnplaman</author>
  </authors>
  <commentList>
    <comment ref="A22" authorId="0" shapeId="0" xr:uid="{9AD0B387-4BB7-44FA-A40E-09A30996F5C3}">
      <text>
        <r>
          <rPr>
            <b/>
            <sz val="9"/>
            <color indexed="81"/>
            <rFont val="宋体"/>
            <family val="3"/>
            <charset val="134"/>
          </rPr>
          <t>cnplaman:</t>
        </r>
        <r>
          <rPr>
            <sz val="9"/>
            <color indexed="81"/>
            <rFont val="宋体"/>
            <family val="3"/>
            <charset val="134"/>
          </rPr>
          <t xml:space="preserve">
</t>
        </r>
      </text>
    </comment>
  </commentList>
</comments>
</file>

<file path=xl/sharedStrings.xml><?xml version="1.0" encoding="utf-8"?>
<sst xmlns="http://schemas.openxmlformats.org/spreadsheetml/2006/main" count="1111" uniqueCount="835">
  <si>
    <t>F4</t>
    <phoneticPr fontId="1" type="noConversion"/>
  </si>
  <si>
    <t>星期一</t>
  </si>
  <si>
    <t>星期二</t>
  </si>
  <si>
    <t>星期三</t>
  </si>
  <si>
    <t>星期四</t>
  </si>
  <si>
    <t>星期五</t>
  </si>
  <si>
    <t>星期六</t>
  </si>
  <si>
    <t>星期日</t>
  </si>
  <si>
    <t>时间</t>
  </si>
  <si>
    <t>0820-0940</t>
  </si>
  <si>
    <t>0950-1030</t>
  </si>
  <si>
    <t>1040-1200</t>
  </si>
  <si>
    <t>1400-1520</t>
  </si>
  <si>
    <t>1530-1650</t>
  </si>
  <si>
    <t>2050-2130</t>
    <phoneticPr fontId="1" type="noConversion"/>
  </si>
  <si>
    <t>20审计学 49人 2415</t>
    <phoneticPr fontId="1" type="noConversion"/>
  </si>
  <si>
    <t>审计</t>
    <phoneticPr fontId="1" type="noConversion"/>
  </si>
  <si>
    <t>蓝玉梅</t>
    <phoneticPr fontId="1" type="noConversion"/>
  </si>
  <si>
    <t>李京京</t>
    <phoneticPr fontId="1" type="noConversion"/>
  </si>
  <si>
    <t>兰万秀</t>
    <phoneticPr fontId="1" type="noConversion"/>
  </si>
  <si>
    <t>李舒童</t>
    <phoneticPr fontId="1" type="noConversion"/>
  </si>
  <si>
    <t>吴正宫</t>
    <phoneticPr fontId="1" type="noConversion"/>
  </si>
  <si>
    <t>新闻</t>
    <phoneticPr fontId="1" type="noConversion"/>
  </si>
  <si>
    <t>体育</t>
    <phoneticPr fontId="1" type="noConversion"/>
  </si>
  <si>
    <t>软工</t>
    <phoneticPr fontId="1" type="noConversion"/>
  </si>
  <si>
    <t>大数据</t>
    <phoneticPr fontId="1" type="noConversion"/>
  </si>
  <si>
    <t>王英睿</t>
    <phoneticPr fontId="1" type="noConversion"/>
  </si>
  <si>
    <t>黄金兰</t>
    <phoneticPr fontId="1" type="noConversion"/>
  </si>
  <si>
    <t>赵旗</t>
    <phoneticPr fontId="1" type="noConversion"/>
  </si>
  <si>
    <t>陈远康</t>
    <phoneticPr fontId="1" type="noConversion"/>
  </si>
  <si>
    <t>李子豪</t>
    <phoneticPr fontId="1" type="noConversion"/>
  </si>
  <si>
    <t>苗廷瑞</t>
    <phoneticPr fontId="1" type="noConversion"/>
  </si>
  <si>
    <t>陶慧丽</t>
    <phoneticPr fontId="1" type="noConversion"/>
  </si>
  <si>
    <t>吴振玉</t>
    <phoneticPr fontId="1" type="noConversion"/>
  </si>
  <si>
    <t>陆恒阳</t>
    <phoneticPr fontId="1" type="noConversion"/>
  </si>
  <si>
    <t>蒙兴举</t>
    <phoneticPr fontId="1" type="noConversion"/>
  </si>
  <si>
    <t>组1</t>
    <phoneticPr fontId="1" type="noConversion"/>
  </si>
  <si>
    <t>组2</t>
    <phoneticPr fontId="1" type="noConversion"/>
  </si>
  <si>
    <t>组3</t>
    <phoneticPr fontId="1" type="noConversion"/>
  </si>
  <si>
    <t>组4</t>
    <phoneticPr fontId="1" type="noConversion"/>
  </si>
  <si>
    <t>组5</t>
    <phoneticPr fontId="1" type="noConversion"/>
  </si>
  <si>
    <t>20大数据 43人 2213</t>
    <phoneticPr fontId="1" type="noConversion"/>
  </si>
  <si>
    <t>1910-2030</t>
    <phoneticPr fontId="1" type="noConversion"/>
  </si>
  <si>
    <t>20软工 35人 2213</t>
    <phoneticPr fontId="1" type="noConversion"/>
  </si>
  <si>
    <t>20软工 35人 2212</t>
    <phoneticPr fontId="1" type="noConversion"/>
  </si>
  <si>
    <t>桂林学院理工学院软件工程教研室张树彬2020-2021学年春季学期个人课程表</t>
    <phoneticPr fontId="1" type="noConversion"/>
  </si>
  <si>
    <t>赵彤彤</t>
    <phoneticPr fontId="1" type="noConversion"/>
  </si>
  <si>
    <t>陈意</t>
    <phoneticPr fontId="1" type="noConversion"/>
  </si>
  <si>
    <t>钟英英</t>
    <phoneticPr fontId="1" type="noConversion"/>
  </si>
  <si>
    <t>谢艳芳</t>
    <phoneticPr fontId="1" type="noConversion"/>
  </si>
  <si>
    <t>李淑卿</t>
    <phoneticPr fontId="1" type="noConversion"/>
  </si>
  <si>
    <t>黄敬彬</t>
    <phoneticPr fontId="1" type="noConversion"/>
  </si>
  <si>
    <t>组6</t>
  </si>
  <si>
    <t>20体育学 62人 2415-陈权</t>
    <phoneticPr fontId="1" type="noConversion"/>
  </si>
  <si>
    <t>20新闻学 46人 2214-曹依婷</t>
    <phoneticPr fontId="1" type="noConversion"/>
  </si>
  <si>
    <t xml:space="preserve"> </t>
    <phoneticPr fontId="1" type="noConversion"/>
  </si>
  <si>
    <t>19软工 65人  2214</t>
    <phoneticPr fontId="1" type="noConversion"/>
  </si>
  <si>
    <t>19软工 65人  2414</t>
    <phoneticPr fontId="1" type="noConversion"/>
  </si>
  <si>
    <t>NO PT</t>
    <phoneticPr fontId="1" type="noConversion"/>
  </si>
  <si>
    <t>文件</t>
    <phoneticPr fontId="1" type="noConversion"/>
  </si>
  <si>
    <t>工作表</t>
    <phoneticPr fontId="1" type="noConversion"/>
  </si>
  <si>
    <t>插入</t>
    <phoneticPr fontId="1" type="noConversion"/>
  </si>
  <si>
    <t>状态栏</t>
    <phoneticPr fontId="1" type="noConversion"/>
  </si>
  <si>
    <t>开始</t>
    <phoneticPr fontId="1" type="noConversion"/>
  </si>
  <si>
    <t>页面布局</t>
    <phoneticPr fontId="1" type="noConversion"/>
  </si>
  <si>
    <t>数据</t>
    <phoneticPr fontId="1" type="noConversion"/>
  </si>
  <si>
    <t>视图</t>
    <phoneticPr fontId="1" type="noConversion"/>
  </si>
  <si>
    <t>打印</t>
    <phoneticPr fontId="1" type="noConversion"/>
  </si>
  <si>
    <t>网格线</t>
    <phoneticPr fontId="1" type="noConversion"/>
  </si>
  <si>
    <t>基本统计</t>
    <phoneticPr fontId="1" type="noConversion"/>
  </si>
  <si>
    <t>自定义状态栏</t>
    <phoneticPr fontId="1" type="noConversion"/>
  </si>
  <si>
    <t>条件格式</t>
    <phoneticPr fontId="1" type="noConversion"/>
  </si>
  <si>
    <t>填充</t>
    <phoneticPr fontId="1" type="noConversion"/>
  </si>
  <si>
    <t>清除</t>
    <phoneticPr fontId="1" type="noConversion"/>
  </si>
  <si>
    <t>拆分</t>
    <phoneticPr fontId="1" type="noConversion"/>
  </si>
  <si>
    <t>数据验证</t>
    <phoneticPr fontId="1" type="noConversion"/>
  </si>
  <si>
    <t>分类汇总</t>
    <phoneticPr fontId="1" type="noConversion"/>
  </si>
  <si>
    <t>信息</t>
    <phoneticPr fontId="1" type="noConversion"/>
  </si>
  <si>
    <t>打印标题</t>
    <phoneticPr fontId="1" type="noConversion"/>
  </si>
  <si>
    <t>图表标题</t>
    <phoneticPr fontId="1" type="noConversion"/>
  </si>
  <si>
    <t>图例</t>
    <phoneticPr fontId="1" type="noConversion"/>
  </si>
  <si>
    <t>数据标签</t>
    <phoneticPr fontId="1" type="noConversion"/>
  </si>
  <si>
    <t>@*_</t>
    <phoneticPr fontId="1" type="noConversion"/>
  </si>
  <si>
    <t>选择数据</t>
    <phoneticPr fontId="1" type="noConversion"/>
  </si>
  <si>
    <t>移动图表</t>
    <phoneticPr fontId="1" type="noConversion"/>
  </si>
  <si>
    <t>更改图表类型</t>
    <phoneticPr fontId="1" type="noConversion"/>
  </si>
  <si>
    <t>冻结窗格</t>
    <phoneticPr fontId="1" type="noConversion"/>
  </si>
  <si>
    <t>=SUM(cell:cell)</t>
    <phoneticPr fontId="1" type="noConversion"/>
  </si>
  <si>
    <t>=SUM(number1,…,numberN)</t>
    <phoneticPr fontId="1" type="noConversion"/>
  </si>
  <si>
    <t>=AVERAGEA(value1,…,valueN)</t>
    <phoneticPr fontId="1" type="noConversion"/>
  </si>
  <si>
    <t>=AVERAGEA(cell:cell)</t>
    <phoneticPr fontId="1" type="noConversion"/>
  </si>
  <si>
    <t>=MAX(number1,…,numberN)</t>
    <phoneticPr fontId="1" type="noConversion"/>
  </si>
  <si>
    <t>=MIN(number1,…,numberN)</t>
    <phoneticPr fontId="1" type="noConversion"/>
  </si>
  <si>
    <t>=MAX(cell:cell)</t>
    <phoneticPr fontId="1" type="noConversion"/>
  </si>
  <si>
    <t>=MIN(cell:cell)</t>
    <phoneticPr fontId="1" type="noConversion"/>
  </si>
  <si>
    <t>=IF(logical_test,"value","value")</t>
    <phoneticPr fontId="1" type="noConversion"/>
  </si>
  <si>
    <t>=COUNT(value1,…,valueN)</t>
    <phoneticPr fontId="1" type="noConversion"/>
  </si>
  <si>
    <t>=COUNT(cell:cell)</t>
    <phoneticPr fontId="1" type="noConversion"/>
  </si>
  <si>
    <t>统计数字单元格个数</t>
    <phoneticPr fontId="1" type="noConversion"/>
  </si>
  <si>
    <t>统计非空单元格个数</t>
    <phoneticPr fontId="1" type="noConversion"/>
  </si>
  <si>
    <t>统计满足条件的单元格数目</t>
    <phoneticPr fontId="1" type="noConversion"/>
  </si>
  <si>
    <t>计算单元格区域中所有数值的和</t>
    <phoneticPr fontId="1" type="noConversion"/>
  </si>
  <si>
    <t>返回参数的算术平均值</t>
    <phoneticPr fontId="1" type="noConversion"/>
  </si>
  <si>
    <t>返回一组数值中的最大值</t>
    <phoneticPr fontId="1" type="noConversion"/>
  </si>
  <si>
    <t>返回一组数值中的最小值</t>
    <phoneticPr fontId="1" type="noConversion"/>
  </si>
  <si>
    <t>满足条件返回一个值，否则返回另一个值</t>
    <phoneticPr fontId="1" type="noConversion"/>
  </si>
  <si>
    <t>=SUMIF(range,Criteria)</t>
    <phoneticPr fontId="1" type="noConversion"/>
  </si>
  <si>
    <t>=SUMIF(F3:F12,"&gt;1500")</t>
    <phoneticPr fontId="1" type="noConversion"/>
  </si>
  <si>
    <t>=SUM(F3:F12)</t>
    <phoneticPr fontId="1" type="noConversion"/>
  </si>
  <si>
    <t>=AVERAGE(F3:F12)</t>
    <phoneticPr fontId="1" type="noConversion"/>
  </si>
  <si>
    <t>=MAX(F3:F12)</t>
    <phoneticPr fontId="1" type="noConversion"/>
  </si>
  <si>
    <t>=MIN(F3:F12)</t>
    <phoneticPr fontId="1" type="noConversion"/>
  </si>
  <si>
    <t>=IF(F3&gt;1500,"pass","fail")</t>
    <phoneticPr fontId="1" type="noConversion"/>
  </si>
  <si>
    <r>
      <t>=COUNTA(F2:F12)</t>
    </r>
    <r>
      <rPr>
        <sz val="11"/>
        <color theme="1"/>
        <rFont val="等线"/>
        <family val="3"/>
        <charset val="134"/>
      </rPr>
      <t>→11</t>
    </r>
    <phoneticPr fontId="1" type="noConversion"/>
  </si>
  <si>
    <r>
      <t>=COUNT(F2:F12)</t>
    </r>
    <r>
      <rPr>
        <sz val="11"/>
        <color theme="1"/>
        <rFont val="等线"/>
        <family val="3"/>
        <charset val="134"/>
      </rPr>
      <t>→</t>
    </r>
    <r>
      <rPr>
        <sz val="11"/>
        <color theme="1"/>
        <rFont val="等线"/>
        <family val="2"/>
        <charset val="134"/>
        <scheme val="minor"/>
      </rPr>
      <t>10</t>
    </r>
    <phoneticPr fontId="1" type="noConversion"/>
  </si>
  <si>
    <t>=COUNTA(cell:cell)</t>
    <phoneticPr fontId="1" type="noConversion"/>
  </si>
  <si>
    <t>=COUNTA(value1,…,valueN)</t>
    <phoneticPr fontId="1" type="noConversion"/>
  </si>
  <si>
    <t>=COUNTIF(F3:F12,"&gt;1500")</t>
    <phoneticPr fontId="1" type="noConversion"/>
  </si>
  <si>
    <t>=COUNTIF(range,Criteria)</t>
    <phoneticPr fontId="1" type="noConversion"/>
  </si>
  <si>
    <t>«</t>
    <phoneticPr fontId="1" type="noConversion"/>
  </si>
  <si>
    <t>=VLOOKUP(lookup_value,table_array,col_index)</t>
    <phoneticPr fontId="1" type="noConversion"/>
  </si>
  <si>
    <t>重复次数；特殊符号应设置单元格为特殊字体Wingdings</t>
    <phoneticPr fontId="1" type="noConversion"/>
  </si>
  <si>
    <t>=REPT(text,number_times)</t>
    <phoneticPr fontId="1" type="noConversion"/>
  </si>
  <si>
    <t>ALT+F1</t>
  </si>
  <si>
    <t>ALT+=</t>
  </si>
  <si>
    <t>ALT+enter</t>
  </si>
  <si>
    <t>CTRL+T</t>
  </si>
  <si>
    <t>CTRL+1</t>
  </si>
  <si>
    <t>CTRL+E</t>
  </si>
  <si>
    <t>ALT+;</t>
    <phoneticPr fontId="1" type="noConversion"/>
  </si>
  <si>
    <t>SHIFT+F2</t>
  </si>
  <si>
    <t>CTRL+SHIFT+N</t>
  </si>
  <si>
    <t>SHIFT</t>
    <phoneticPr fontId="1" type="noConversion"/>
  </si>
  <si>
    <t>@</t>
    <phoneticPr fontId="1" type="noConversion"/>
  </si>
  <si>
    <t>操作</t>
    <phoneticPr fontId="1" type="noConversion"/>
  </si>
  <si>
    <t>&amp;</t>
    <phoneticPr fontId="1" type="noConversion"/>
  </si>
  <si>
    <t>#</t>
    <phoneticPr fontId="1" type="noConversion"/>
  </si>
  <si>
    <t>string@</t>
    <phoneticPr fontId="1" type="noConversion"/>
  </si>
  <si>
    <t>前缀</t>
    <phoneticPr fontId="1" type="noConversion"/>
  </si>
  <si>
    <t>@string</t>
    <phoneticPr fontId="1" type="noConversion"/>
  </si>
  <si>
    <t>后缀</t>
    <phoneticPr fontId="1" type="noConversion"/>
  </si>
  <si>
    <t>lg</t>
    <phoneticPr fontId="1" type="noConversion"/>
  </si>
  <si>
    <t>jg</t>
    <phoneticPr fontId="1" type="noConversion"/>
  </si>
  <si>
    <t>cm</t>
    <phoneticPr fontId="1" type="noConversion"/>
  </si>
  <si>
    <t>ty</t>
    <phoneticPr fontId="1" type="noConversion"/>
  </si>
  <si>
    <t>123</t>
    <phoneticPr fontId="1" type="noConversion"/>
  </si>
  <si>
    <t>计算机网络</t>
    <phoneticPr fontId="1" type="noConversion"/>
  </si>
  <si>
    <t>CTRL+SHIFT+5</t>
    <phoneticPr fontId="1" type="noConversion"/>
  </si>
  <si>
    <t>CTRL+SHIFT+4</t>
    <phoneticPr fontId="1" type="noConversion"/>
  </si>
  <si>
    <t>ALT</t>
    <phoneticPr fontId="1" type="noConversion"/>
  </si>
  <si>
    <t>CTRL</t>
    <phoneticPr fontId="1" type="noConversion"/>
  </si>
  <si>
    <t>F5</t>
    <phoneticPr fontId="1" type="noConversion"/>
  </si>
  <si>
    <t>数据源</t>
    <phoneticPr fontId="1" type="noConversion"/>
  </si>
  <si>
    <t>每列数据的第一行都是该列的标题</t>
    <phoneticPr fontId="1" type="noConversion"/>
  </si>
  <si>
    <t>不包含空行</t>
    <phoneticPr fontId="1" type="noConversion"/>
  </si>
  <si>
    <t>不包含空列</t>
    <phoneticPr fontId="1" type="noConversion"/>
  </si>
  <si>
    <t>不包含空单元格</t>
    <phoneticPr fontId="1" type="noConversion"/>
  </si>
  <si>
    <t>不包含合并单元格</t>
    <phoneticPr fontId="1" type="noConversion"/>
  </si>
  <si>
    <t>没有同类数据</t>
    <phoneticPr fontId="1" type="noConversion"/>
  </si>
  <si>
    <t>CTRL+ENTER</t>
    <phoneticPr fontId="1" type="noConversion"/>
  </si>
  <si>
    <t>西部2</t>
  </si>
  <si>
    <t>南部3</t>
  </si>
  <si>
    <t>北部2</t>
  </si>
  <si>
    <t>东部3</t>
  </si>
  <si>
    <t>南部2</t>
  </si>
  <si>
    <t>东部2</t>
  </si>
  <si>
    <t>西部3</t>
  </si>
  <si>
    <t>北部3</t>
  </si>
  <si>
    <t>季度</t>
  </si>
  <si>
    <t>分公司</t>
  </si>
  <si>
    <t>产品类别</t>
  </si>
  <si>
    <t>产品名称</t>
  </si>
  <si>
    <t>销售数量</t>
  </si>
  <si>
    <t>销售额（万元）</t>
  </si>
  <si>
    <t>销售额排名</t>
  </si>
  <si>
    <t>K-1</t>
  </si>
  <si>
    <t>空调</t>
  </si>
  <si>
    <t>D-2</t>
  </si>
  <si>
    <t>电冰箱</t>
  </si>
  <si>
    <t>北部1</t>
  </si>
  <si>
    <t>D-1</t>
  </si>
  <si>
    <t>电视</t>
  </si>
  <si>
    <t>西部1</t>
  </si>
  <si>
    <t>东部1</t>
  </si>
  <si>
    <t>南部1</t>
  </si>
  <si>
    <t>行标签</t>
  </si>
  <si>
    <t>总计</t>
  </si>
  <si>
    <t>求和项:销售数量</t>
  </si>
  <si>
    <t>列标签</t>
  </si>
  <si>
    <t>透视表的操作</t>
    <phoneticPr fontId="1" type="noConversion"/>
  </si>
  <si>
    <t>选择单元格、字段、项</t>
    <phoneticPr fontId="1" type="noConversion"/>
  </si>
  <si>
    <t>重命名透视表</t>
    <phoneticPr fontId="1" type="noConversion"/>
  </si>
  <si>
    <t>复制、移动、删除</t>
    <phoneticPr fontId="1" type="noConversion"/>
  </si>
  <si>
    <t>单元格样式</t>
    <phoneticPr fontId="1" type="noConversion"/>
  </si>
  <si>
    <t>自定义单元格样式</t>
    <phoneticPr fontId="1" type="noConversion"/>
  </si>
  <si>
    <t>审阅</t>
    <phoneticPr fontId="1" type="noConversion"/>
  </si>
  <si>
    <t>保护工作表</t>
    <phoneticPr fontId="1" type="noConversion"/>
  </si>
  <si>
    <t>保护工作簿</t>
    <phoneticPr fontId="1" type="noConversion"/>
  </si>
  <si>
    <t>一月</t>
    <phoneticPr fontId="1" type="noConversion"/>
  </si>
  <si>
    <t>二月</t>
  </si>
  <si>
    <t>三月</t>
  </si>
  <si>
    <t>四月</t>
  </si>
  <si>
    <t>五月</t>
  </si>
  <si>
    <t>六月</t>
  </si>
  <si>
    <t>七月</t>
  </si>
  <si>
    <t>八月</t>
  </si>
  <si>
    <t>九月</t>
  </si>
  <si>
    <t>十月</t>
  </si>
  <si>
    <t>十一月</t>
  </si>
  <si>
    <t>十二月</t>
  </si>
  <si>
    <t>gl</t>
    <phoneticPr fontId="1" type="noConversion"/>
  </si>
  <si>
    <t>nj</t>
    <phoneticPr fontId="1" type="noConversion"/>
  </si>
  <si>
    <t>bj</t>
    <phoneticPr fontId="1" type="noConversion"/>
  </si>
  <si>
    <t>wh</t>
    <phoneticPr fontId="1" type="noConversion"/>
  </si>
  <si>
    <t>sz</t>
    <phoneticPr fontId="1" type="noConversion"/>
  </si>
  <si>
    <t>cq</t>
    <phoneticPr fontId="1" type="noConversion"/>
  </si>
  <si>
    <t>hn</t>
    <phoneticPr fontId="1" type="noConversion"/>
  </si>
  <si>
    <t>ay</t>
    <phoneticPr fontId="1" type="noConversion"/>
  </si>
  <si>
    <t>姓名</t>
    <phoneticPr fontId="1" type="noConversion"/>
  </si>
  <si>
    <t>step1</t>
    <phoneticPr fontId="1" type="noConversion"/>
  </si>
  <si>
    <t>step2</t>
    <phoneticPr fontId="1" type="noConversion"/>
  </si>
  <si>
    <t>鼠标置于数据某单元格，按CTRL+T，转换为超级表（勾选表包含标题）；顶部出现动态选项卡-表设计</t>
    <phoneticPr fontId="1" type="noConversion"/>
  </si>
  <si>
    <t>插入切片器，选择姓名列并确定，将生成的切片器拖动到合适位置</t>
    <phoneticPr fontId="1" type="noConversion"/>
  </si>
  <si>
    <t>step3</t>
    <phoneticPr fontId="1" type="noConversion"/>
  </si>
  <si>
    <t>step4</t>
  </si>
  <si>
    <t>单击姓名，可实现筛选数据的效果</t>
    <phoneticPr fontId="1" type="noConversion"/>
  </si>
  <si>
    <t>鼠标置于数据某单元格，按ALT+F1，快速生成图表</t>
    <phoneticPr fontId="1" type="noConversion"/>
  </si>
  <si>
    <t>step5</t>
  </si>
  <si>
    <t>单击姓名，可实现筛选数据的效果，提示图表也相应的更新</t>
    <phoneticPr fontId="1" type="noConversion"/>
  </si>
  <si>
    <t>tips</t>
    <phoneticPr fontId="1" type="noConversion"/>
  </si>
  <si>
    <t>1.取消图表的选择，再点选姓名，图表会有缓动的效果</t>
    <phoneticPr fontId="1" type="noConversion"/>
  </si>
  <si>
    <t>3.超级表取消后，切片器会消失，但是超级表的样式会保留</t>
    <phoneticPr fontId="1" type="noConversion"/>
  </si>
  <si>
    <t>2.鼠标置于数据某单元格，激活动态选项卡-表设计，转换为区域，取消超级表</t>
    <phoneticPr fontId="1" type="noConversion"/>
  </si>
  <si>
    <t>格式刷</t>
    <phoneticPr fontId="1" type="noConversion"/>
  </si>
  <si>
    <t>使用系统内置样式</t>
    <phoneticPr fontId="1" type="noConversion"/>
  </si>
  <si>
    <t>插入</t>
  </si>
  <si>
    <t>公式</t>
    <phoneticPr fontId="1" type="noConversion"/>
  </si>
  <si>
    <t>定义的名称</t>
    <phoneticPr fontId="1" type="noConversion"/>
  </si>
  <si>
    <t>定义、编辑、删除</t>
    <phoneticPr fontId="1" type="noConversion"/>
  </si>
  <si>
    <t>SHIFT+F3</t>
    <phoneticPr fontId="1" type="noConversion"/>
  </si>
  <si>
    <t>函数</t>
    <phoneticPr fontId="1" type="noConversion"/>
  </si>
  <si>
    <t>说明</t>
    <phoneticPr fontId="1" type="noConversion"/>
  </si>
  <si>
    <t>写法</t>
    <phoneticPr fontId="1" type="noConversion"/>
  </si>
  <si>
    <t>绝对值</t>
    <phoneticPr fontId="1" type="noConversion"/>
  </si>
  <si>
    <t>=ABS(number)</t>
    <phoneticPr fontId="1" type="noConversion"/>
  </si>
  <si>
    <t>order=0：降序；order=1：升序</t>
  </si>
  <si>
    <t>结果</t>
    <phoneticPr fontId="1" type="noConversion"/>
  </si>
  <si>
    <t>按参数2指定的位数对参数1四舍五入</t>
    <phoneticPr fontId="1" type="noConversion"/>
  </si>
  <si>
    <t>=ROUND(number,num_digits)</t>
    <phoneticPr fontId="1" type="noConversion"/>
  </si>
  <si>
    <t>向下取整，类似JS的floor()</t>
    <phoneticPr fontId="1" type="noConversion"/>
  </si>
  <si>
    <t>INT</t>
    <phoneticPr fontId="1" type="noConversion"/>
  </si>
  <si>
    <t>ABS</t>
    <phoneticPr fontId="1" type="noConversion"/>
  </si>
  <si>
    <t>COUNT</t>
    <phoneticPr fontId="1" type="noConversion"/>
  </si>
  <si>
    <t>COUNTA</t>
    <phoneticPr fontId="1" type="noConversion"/>
  </si>
  <si>
    <t>COUNTIF</t>
    <phoneticPr fontId="1" type="noConversion"/>
  </si>
  <si>
    <t>IF</t>
    <phoneticPr fontId="1" type="noConversion"/>
  </si>
  <si>
    <t>MAX</t>
    <phoneticPr fontId="1" type="noConversion"/>
  </si>
  <si>
    <t>MIN</t>
    <phoneticPr fontId="1" type="noConversion"/>
  </si>
  <si>
    <t>RANK</t>
    <phoneticPr fontId="1" type="noConversion"/>
  </si>
  <si>
    <t>REPT</t>
    <phoneticPr fontId="1" type="noConversion"/>
  </si>
  <si>
    <t>ROUND</t>
    <phoneticPr fontId="1" type="noConversion"/>
  </si>
  <si>
    <t>SUMIF</t>
    <phoneticPr fontId="1" type="noConversion"/>
  </si>
  <si>
    <t>VLOOKUP</t>
    <phoneticPr fontId="1" type="noConversion"/>
  </si>
  <si>
    <t>TRUNC</t>
    <phoneticPr fontId="1" type="noConversion"/>
  </si>
  <si>
    <t>AVERAGE</t>
    <phoneticPr fontId="1" type="noConversion"/>
  </si>
  <si>
    <t>SUM</t>
    <phoneticPr fontId="1" type="noConversion"/>
  </si>
  <si>
    <t>对满足条件的单元格求和，可以是多个条件</t>
    <phoneticPr fontId="1" type="noConversion"/>
  </si>
  <si>
    <t>YEAR</t>
    <phoneticPr fontId="1" type="noConversion"/>
  </si>
  <si>
    <t>NOW</t>
    <phoneticPr fontId="1" type="noConversion"/>
  </si>
  <si>
    <t>TODAY</t>
    <phoneticPr fontId="1" type="noConversion"/>
  </si>
  <si>
    <t>计算机当天日期</t>
    <phoneticPr fontId="1" type="noConversion"/>
  </si>
  <si>
    <t>计算机当天日期和时间</t>
    <phoneticPr fontId="1" type="noConversion"/>
  </si>
  <si>
    <t>CONCATENATE</t>
    <phoneticPr fontId="1" type="noConversion"/>
  </si>
  <si>
    <t>文本合并</t>
    <phoneticPr fontId="1" type="noConversion"/>
  </si>
  <si>
    <t>MID</t>
    <phoneticPr fontId="1" type="noConversion"/>
  </si>
  <si>
    <t>社会主义核心价值观</t>
    <phoneticPr fontId="1" type="noConversion"/>
  </si>
  <si>
    <t>=MID(text,start_num,len_num)</t>
    <phoneticPr fontId="1" type="noConversion"/>
  </si>
  <si>
    <t>LEFT</t>
    <phoneticPr fontId="1" type="noConversion"/>
  </si>
  <si>
    <t>RIGHT</t>
    <phoneticPr fontId="1" type="noConversion"/>
  </si>
  <si>
    <t>=LEFT(text,len_num)</t>
    <phoneticPr fontId="1" type="noConversion"/>
  </si>
  <si>
    <t>=RIGHT(text,len_num)</t>
    <phoneticPr fontId="1" type="noConversion"/>
  </si>
  <si>
    <t>TRIM</t>
    <phoneticPr fontId="1" type="noConversion"/>
  </si>
  <si>
    <t>LEN</t>
    <phoneticPr fontId="1" type="noConversion"/>
  </si>
  <si>
    <t xml:space="preserve"> 社会主义 核心 价值观 </t>
    <phoneticPr fontId="1" type="noConversion"/>
  </si>
  <si>
    <t>删除文本首尾的空格，中间的空格会保留</t>
    <phoneticPr fontId="1" type="noConversion"/>
  </si>
  <si>
    <t>获取文本的长度，空格也算在内</t>
    <phoneticPr fontId="1" type="noConversion"/>
  </si>
  <si>
    <t>社会主义</t>
    <phoneticPr fontId="1" type="noConversion"/>
  </si>
  <si>
    <t>核心价值观</t>
    <phoneticPr fontId="1" type="noConversion"/>
  </si>
  <si>
    <t>=LEN(text)</t>
    <phoneticPr fontId="1" type="noConversion"/>
  </si>
  <si>
    <t>=TRIM(text)</t>
    <phoneticPr fontId="1" type="noConversion"/>
  </si>
  <si>
    <t>COLUMN</t>
    <phoneticPr fontId="1" type="noConversion"/>
  </si>
  <si>
    <t>ROW</t>
    <phoneticPr fontId="1" type="noConversion"/>
  </si>
  <si>
    <t>当前单元格或指定单元格所在列</t>
    <phoneticPr fontId="1" type="noConversion"/>
  </si>
  <si>
    <t>指定单元格</t>
    <phoneticPr fontId="1" type="noConversion"/>
  </si>
  <si>
    <t>=COLUMN(ref)</t>
    <phoneticPr fontId="1" type="noConversion"/>
  </si>
  <si>
    <t>当前单元格或指定单元格所在行</t>
    <phoneticPr fontId="1" type="noConversion"/>
  </si>
  <si>
    <t>COLUMNS</t>
    <phoneticPr fontId="1" type="noConversion"/>
  </si>
  <si>
    <t>单元格区域的列数</t>
    <phoneticPr fontId="1" type="noConversion"/>
  </si>
  <si>
    <r>
      <t>A-D的列数为</t>
    </r>
    <r>
      <rPr>
        <sz val="11"/>
        <color theme="1"/>
        <rFont val="等线"/>
        <family val="3"/>
        <charset val="134"/>
      </rPr>
      <t>→</t>
    </r>
    <phoneticPr fontId="1" type="noConversion"/>
  </si>
  <si>
    <t>=ROW(ref)</t>
    <phoneticPr fontId="1" type="noConversion"/>
  </si>
  <si>
    <t>=COLUMNS()</t>
    <phoneticPr fontId="1" type="noConversion"/>
  </si>
  <si>
    <t>ISODD</t>
    <phoneticPr fontId="1" type="noConversion"/>
  </si>
  <si>
    <t>是否为奇数</t>
    <phoneticPr fontId="1" type="noConversion"/>
  </si>
  <si>
    <t>是否为偶数</t>
    <phoneticPr fontId="1" type="noConversion"/>
  </si>
  <si>
    <t>ISEVEN</t>
    <phoneticPr fontId="1" type="noConversion"/>
  </si>
  <si>
    <t>ISBLANK</t>
    <phoneticPr fontId="1" type="noConversion"/>
  </si>
  <si>
    <t>是否为空</t>
    <phoneticPr fontId="1" type="noConversion"/>
  </si>
  <si>
    <t>ISEEROR</t>
    <phoneticPr fontId="1" type="noConversion"/>
  </si>
  <si>
    <t>是否错误</t>
    <phoneticPr fontId="1" type="noConversion"/>
  </si>
  <si>
    <t>IFEEROR</t>
    <phoneticPr fontId="1" type="noConversion"/>
  </si>
  <si>
    <t>如果错误</t>
    <phoneticPr fontId="1" type="noConversion"/>
  </si>
  <si>
    <t>MOD</t>
    <phoneticPr fontId="1" type="noConversion"/>
  </si>
  <si>
    <t>求余</t>
    <phoneticPr fontId="1" type="noConversion"/>
  </si>
  <si>
    <t>10%3</t>
    <phoneticPr fontId="1" type="noConversion"/>
  </si>
  <si>
    <t>取整/截取函数，根据参数2保留参数1的小数部分</t>
    <phoneticPr fontId="1" type="noConversion"/>
  </si>
  <si>
    <t>默认为0，取整</t>
  </si>
  <si>
    <t>另存为</t>
    <phoneticPr fontId="1" type="noConversion"/>
  </si>
  <si>
    <r>
      <t>浏览</t>
    </r>
    <r>
      <rPr>
        <sz val="11"/>
        <color theme="1"/>
        <rFont val="等线"/>
        <family val="3"/>
        <charset val="134"/>
      </rPr>
      <t>→工具→常规选项→保护文档</t>
    </r>
    <phoneticPr fontId="1" type="noConversion"/>
  </si>
  <si>
    <t>文件视图缩放</t>
    <phoneticPr fontId="1" type="noConversion"/>
  </si>
  <si>
    <t>添加</t>
  </si>
  <si>
    <t>重命名</t>
  </si>
  <si>
    <t>删除</t>
  </si>
  <si>
    <t>移动/复制</t>
  </si>
  <si>
    <t>隐藏</t>
  </si>
  <si>
    <t>保护</t>
  </si>
  <si>
    <t>标签颜色</t>
  </si>
  <si>
    <t>图表</t>
    <phoneticPr fontId="1" type="noConversion"/>
  </si>
  <si>
    <t>缩放图表</t>
    <phoneticPr fontId="1" type="noConversion"/>
  </si>
  <si>
    <t>当前工作表内移动；移动到其它工作表；</t>
    <phoneticPr fontId="1" type="noConversion"/>
  </si>
  <si>
    <t>坐标轴标题</t>
    <phoneticPr fontId="1" type="noConversion"/>
  </si>
  <si>
    <t>调整数据源</t>
    <phoneticPr fontId="1" type="noConversion"/>
  </si>
  <si>
    <t>右击坐标轴也可添加</t>
    <phoneticPr fontId="1" type="noConversion"/>
  </si>
  <si>
    <t>快速布局</t>
    <phoneticPr fontId="1" type="noConversion"/>
  </si>
  <si>
    <t>更改颜色</t>
    <phoneticPr fontId="1" type="noConversion"/>
  </si>
  <si>
    <t>迷你图</t>
    <phoneticPr fontId="1" type="noConversion"/>
  </si>
  <si>
    <t>选择图表并打印，默认情况下打印该图表，且不能打印其它内容，除非取消图表的选择</t>
    <phoneticPr fontId="1" type="noConversion"/>
  </si>
  <si>
    <t>排序</t>
    <phoneticPr fontId="1" type="noConversion"/>
  </si>
  <si>
    <t>筛选</t>
    <phoneticPr fontId="1" type="noConversion"/>
  </si>
  <si>
    <r>
      <t>显示符号条件的数据，其它暂时隐藏。相当于：数据</t>
    </r>
    <r>
      <rPr>
        <sz val="11"/>
        <color theme="1"/>
        <rFont val="等线"/>
        <family val="3"/>
        <charset val="134"/>
      </rPr>
      <t>→</t>
    </r>
    <r>
      <rPr>
        <sz val="11"/>
        <color theme="1"/>
        <rFont val="等线"/>
        <family val="2"/>
        <charset val="134"/>
        <scheme val="minor"/>
      </rPr>
      <t>筛选</t>
    </r>
    <phoneticPr fontId="1" type="noConversion"/>
  </si>
  <si>
    <t>多条件排序</t>
    <phoneticPr fontId="1" type="noConversion"/>
  </si>
  <si>
    <t>高级筛选</t>
    <phoneticPr fontId="1" type="noConversion"/>
  </si>
  <si>
    <t>依据：值、格式、条件</t>
    <phoneticPr fontId="1" type="noConversion"/>
  </si>
  <si>
    <t>冻结首行</t>
  </si>
  <si>
    <t>冻结多行</t>
  </si>
  <si>
    <t>冻结首行首列</t>
  </si>
  <si>
    <t>冻结多行多列</t>
  </si>
  <si>
    <t>冻结首列</t>
    <phoneticPr fontId="1" type="noConversion"/>
  </si>
  <si>
    <t>冻结多列</t>
    <phoneticPr fontId="1" type="noConversion"/>
  </si>
  <si>
    <t>拆分分割线可以拖动。拖动至最上端/最左端将删除分割线，最后将取消拆分功能</t>
    <phoneticPr fontId="1" type="noConversion"/>
  </si>
  <si>
    <t>数据→排序</t>
    <phoneticPr fontId="1" type="noConversion"/>
  </si>
  <si>
    <t>简单排序</t>
    <phoneticPr fontId="1" type="noConversion"/>
  </si>
  <si>
    <t>选项</t>
    <phoneticPr fontId="1" type="noConversion"/>
  </si>
  <si>
    <t>高级里可自定义列表，方便用户输入数据</t>
    <phoneticPr fontId="1" type="noConversion"/>
  </si>
  <si>
    <t>基本筛选</t>
    <phoneticPr fontId="1" type="noConversion"/>
  </si>
  <si>
    <t>单刷</t>
    <phoneticPr fontId="1" type="noConversion"/>
  </si>
  <si>
    <t>多刷</t>
    <phoneticPr fontId="1" type="noConversion"/>
  </si>
  <si>
    <t>隔行刷</t>
    <phoneticPr fontId="1" type="noConversion"/>
  </si>
  <si>
    <t>一刷一用</t>
    <phoneticPr fontId="1" type="noConversion"/>
  </si>
  <si>
    <t>一刷多用</t>
    <phoneticPr fontId="1" type="noConversion"/>
  </si>
  <si>
    <t>利用多个单元格样式</t>
    <phoneticPr fontId="1" type="noConversion"/>
  </si>
  <si>
    <t>自定义序列排序</t>
  </si>
  <si>
    <t>选项卡</t>
    <phoneticPr fontId="1" type="noConversion"/>
  </si>
  <si>
    <t>界面</t>
    <phoneticPr fontId="1" type="noConversion"/>
  </si>
  <si>
    <r>
      <t>给单元格选择不同的背景色</t>
    </r>
    <r>
      <rPr>
        <sz val="11"/>
        <color theme="1"/>
        <rFont val="等线"/>
        <family val="3"/>
        <charset val="134"/>
      </rPr>
      <t>→按颜色排序→自定义排序→多条件排序→</t>
    </r>
    <r>
      <rPr>
        <sz val="11"/>
        <color theme="1"/>
        <rFont val="等线"/>
        <family val="2"/>
        <charset val="134"/>
        <scheme val="minor"/>
      </rPr>
      <t>利用单元格颜色</t>
    </r>
    <phoneticPr fontId="1" type="noConversion"/>
  </si>
  <si>
    <t>按颜色筛选</t>
    <phoneticPr fontId="1" type="noConversion"/>
  </si>
  <si>
    <t>给单元格选择不同的背景色→按单元格颜色</t>
    <phoneticPr fontId="1" type="noConversion"/>
  </si>
  <si>
    <t>表格</t>
    <phoneticPr fontId="1" type="noConversion"/>
  </si>
  <si>
    <t>插入表格</t>
    <phoneticPr fontId="1" type="noConversion"/>
  </si>
  <si>
    <t>切片器</t>
    <phoneticPr fontId="1" type="noConversion"/>
  </si>
  <si>
    <t>数据透视图</t>
    <phoneticPr fontId="1" type="noConversion"/>
  </si>
  <si>
    <t>数据透视表</t>
    <phoneticPr fontId="1" type="noConversion"/>
  </si>
  <si>
    <t>套用表格格式</t>
    <phoneticPr fontId="1" type="noConversion"/>
  </si>
  <si>
    <t>生成超级表</t>
    <phoneticPr fontId="1" type="noConversion"/>
  </si>
  <si>
    <t>数字</t>
    <phoneticPr fontId="1" type="noConversion"/>
  </si>
  <si>
    <t>Ctrl+1</t>
  </si>
  <si>
    <t>将当前数据区域转换为超级表；注意动态选项卡表设计</t>
    <phoneticPr fontId="1" type="noConversion"/>
  </si>
  <si>
    <t>CTRL+T；注意动态选项卡表设计</t>
    <phoneticPr fontId="1" type="noConversion"/>
  </si>
  <si>
    <t>大小</t>
    <phoneticPr fontId="1" type="noConversion"/>
  </si>
  <si>
    <t>样式</t>
    <phoneticPr fontId="1" type="noConversion"/>
  </si>
  <si>
    <t>按钮</t>
    <phoneticPr fontId="1" type="noConversion"/>
  </si>
  <si>
    <t>切片器的样式</t>
    <phoneticPr fontId="1" type="noConversion"/>
  </si>
  <si>
    <t>切片器的大小</t>
    <phoneticPr fontId="1" type="noConversion"/>
  </si>
  <si>
    <t>切片器内部数据按钮的大小</t>
    <phoneticPr fontId="1" type="noConversion"/>
  </si>
  <si>
    <t>取消选择数据</t>
    <phoneticPr fontId="1" type="noConversion"/>
  </si>
  <si>
    <t>单选或多选数据按钮</t>
    <phoneticPr fontId="1" type="noConversion"/>
  </si>
  <si>
    <t>备注</t>
    <phoneticPr fontId="1" type="noConversion"/>
  </si>
  <si>
    <t>单击漏斗；默认是全选数据</t>
    <phoneticPr fontId="1" type="noConversion"/>
  </si>
  <si>
    <t>动态选项卡</t>
    <phoneticPr fontId="1" type="noConversion"/>
  </si>
  <si>
    <t>通过拖拉复制的迷你图，默认是一个组合，调整某个分组，将会影响到其它分组；可取消分组</t>
    <phoneticPr fontId="1" type="noConversion"/>
  </si>
  <si>
    <t>项目</t>
    <phoneticPr fontId="1" type="noConversion"/>
  </si>
  <si>
    <t>筛选数据</t>
    <phoneticPr fontId="1" type="noConversion"/>
  </si>
  <si>
    <t>详情</t>
    <phoneticPr fontId="1" type="noConversion"/>
  </si>
  <si>
    <t>还可通过指定序列实现特定的排序。如果：电脑、电视、冰箱，可改变顺序为：电脑、冰箱、电视</t>
    <phoneticPr fontId="1" type="noConversion"/>
  </si>
  <si>
    <t>文本默认是按照字母表顺序A→Z或Z→A排序</t>
  </si>
  <si>
    <t>系统指定格式</t>
    <phoneticPr fontId="1" type="noConversion"/>
  </si>
  <si>
    <t>选择符合条件的数据</t>
    <phoneticPr fontId="1" type="noConversion"/>
  </si>
  <si>
    <t>自定义格式</t>
    <phoneticPr fontId="1" type="noConversion"/>
  </si>
  <si>
    <t>修改样式</t>
    <phoneticPr fontId="1" type="noConversion"/>
  </si>
  <si>
    <r>
      <t>管理规则</t>
    </r>
    <r>
      <rPr>
        <sz val="11"/>
        <color theme="1"/>
        <rFont val="等线"/>
        <family val="3"/>
        <charset val="134"/>
      </rPr>
      <t>→编辑</t>
    </r>
    <r>
      <rPr>
        <sz val="11"/>
        <color theme="1"/>
        <rFont val="等线"/>
        <family val="2"/>
        <charset val="134"/>
        <scheme val="minor"/>
      </rPr>
      <t>规则</t>
    </r>
    <phoneticPr fontId="1" type="noConversion"/>
  </si>
  <si>
    <t>数据条</t>
    <phoneticPr fontId="1" type="noConversion"/>
  </si>
  <si>
    <t>色阶</t>
    <phoneticPr fontId="1" type="noConversion"/>
  </si>
  <si>
    <t>图标集</t>
    <phoneticPr fontId="1" type="noConversion"/>
  </si>
  <si>
    <t>文件内部；不同文件之间；复制时记得勾选下面的“建立副本”；移动时，是移动到指定对象的前面</t>
    <phoneticPr fontId="1" type="noConversion"/>
  </si>
  <si>
    <r>
      <t>先分类再汇总；取消仍然要点开分类汇总对话框，选择全部删除即可；
默认分级显示数据；也可以：分级显示</t>
    </r>
    <r>
      <rPr>
        <sz val="11"/>
        <color theme="1"/>
        <rFont val="等线"/>
        <family val="3"/>
        <charset val="134"/>
      </rPr>
      <t>→</t>
    </r>
    <r>
      <rPr>
        <sz val="11"/>
        <color theme="1"/>
        <rFont val="等线"/>
        <family val="2"/>
        <charset val="134"/>
        <scheme val="minor"/>
      </rPr>
      <t>清除分析显示（谁喜欢这么做呢？）</t>
    </r>
    <phoneticPr fontId="1" type="noConversion"/>
  </si>
  <si>
    <t>需额外提供筛选条件；多个条件的数据在一行为与的关系；不在同一行为或的关系；
条件区域最好在数据源上方，不影响数据筛选即可</t>
    <phoneticPr fontId="1" type="noConversion"/>
  </si>
  <si>
    <t>合并计算</t>
    <phoneticPr fontId="1" type="noConversion"/>
  </si>
  <si>
    <t>切换行/列</t>
    <phoneticPr fontId="1" type="noConversion"/>
  </si>
  <si>
    <t>图表设计</t>
    <phoneticPr fontId="1" type="noConversion"/>
  </si>
  <si>
    <t>横坐标；纵坐标；最大值‘最小值</t>
    <phoneticPr fontId="1" type="noConversion"/>
  </si>
  <si>
    <t>源数据更改后，需要手动刷新才可；数据增加后，需要更改数据源，将新增部分选进去</t>
    <phoneticPr fontId="1" type="noConversion"/>
  </si>
  <si>
    <t>超级表可以自动更新（经验证，也不可自动更新）</t>
    <phoneticPr fontId="1" type="noConversion"/>
  </si>
  <si>
    <t>分页预览</t>
    <phoneticPr fontId="1" type="noConversion"/>
  </si>
  <si>
    <t>调整分页线</t>
    <phoneticPr fontId="1" type="noConversion"/>
  </si>
  <si>
    <t>增加分页线</t>
    <phoneticPr fontId="1" type="noConversion"/>
  </si>
  <si>
    <r>
      <t>页面布局</t>
    </r>
    <r>
      <rPr>
        <sz val="11"/>
        <color theme="1"/>
        <rFont val="等线"/>
        <family val="3"/>
        <charset val="134"/>
      </rPr>
      <t>→分隔符→</t>
    </r>
    <r>
      <rPr>
        <sz val="11"/>
        <color theme="1"/>
        <rFont val="等线"/>
        <family val="2"/>
        <charset val="134"/>
        <scheme val="minor"/>
      </rPr>
      <t>分页符，并拖动至合适位置</t>
    </r>
    <phoneticPr fontId="1" type="noConversion"/>
  </si>
  <si>
    <t>拖动系统默认的分页符；可以自由减少每页内容；但不能任意增加页面内容哦</t>
    <phoneticPr fontId="1" type="noConversion"/>
  </si>
  <si>
    <t>查看打印效果</t>
    <phoneticPr fontId="1" type="noConversion"/>
  </si>
  <si>
    <t>默认不打印</t>
    <phoneticPr fontId="1" type="noConversion"/>
  </si>
  <si>
    <t>分隔符</t>
    <phoneticPr fontId="1" type="noConversion"/>
  </si>
  <si>
    <t>分页符</t>
    <phoneticPr fontId="1" type="noConversion"/>
  </si>
  <si>
    <t>重设所有分页符</t>
    <phoneticPr fontId="1" type="noConversion"/>
  </si>
  <si>
    <t>调整合适大小</t>
    <phoneticPr fontId="1" type="noConversion"/>
  </si>
  <si>
    <t>宽度为1页；高度为1页或者合适的页数</t>
    <phoneticPr fontId="1" type="noConversion"/>
  </si>
  <si>
    <t>打印区域</t>
    <phoneticPr fontId="1" type="noConversion"/>
  </si>
  <si>
    <t>设置/取消</t>
    <phoneticPr fontId="1" type="noConversion"/>
  </si>
  <si>
    <t>只打印选定区域</t>
    <phoneticPr fontId="1" type="noConversion"/>
  </si>
  <si>
    <t>更推荐在打印预览页面的页面设置里设置</t>
    <phoneticPr fontId="1" type="noConversion"/>
  </si>
  <si>
    <t>页眉</t>
    <phoneticPr fontId="1" type="noConversion"/>
  </si>
  <si>
    <t>页脚</t>
    <phoneticPr fontId="1" type="noConversion"/>
  </si>
  <si>
    <t>设置页眉</t>
    <phoneticPr fontId="1" type="noConversion"/>
  </si>
  <si>
    <t>设置页脚</t>
    <phoneticPr fontId="1" type="noConversion"/>
  </si>
  <si>
    <t>LARGE</t>
    <phoneticPr fontId="1" type="noConversion"/>
  </si>
  <si>
    <t>SMALL</t>
    <phoneticPr fontId="1" type="noConversion"/>
  </si>
  <si>
    <t>=LARGE(array,k)</t>
    <phoneticPr fontId="1" type="noConversion"/>
  </si>
  <si>
    <t>=SMALL(array,k)</t>
    <phoneticPr fontId="1" type="noConversion"/>
  </si>
  <si>
    <t>数据区域中第几高的数据</t>
    <phoneticPr fontId="1" type="noConversion"/>
  </si>
  <si>
    <t>数据区域中第几低的数据/倒数第几</t>
    <phoneticPr fontId="1" type="noConversion"/>
  </si>
  <si>
    <t>IFS</t>
    <phoneticPr fontId="1" type="noConversion"/>
  </si>
  <si>
    <t>多分支条件</t>
    <phoneticPr fontId="1" type="noConversion"/>
  </si>
  <si>
    <t>从高值开始</t>
    <phoneticPr fontId="1" type="noConversion"/>
  </si>
  <si>
    <t>桂林</t>
    <phoneticPr fontId="1" type="noConversion"/>
  </si>
  <si>
    <t>广州</t>
    <phoneticPr fontId="1" type="noConversion"/>
  </si>
  <si>
    <t>重庆</t>
    <phoneticPr fontId="1" type="noConversion"/>
  </si>
  <si>
    <t>南京</t>
    <phoneticPr fontId="1" type="noConversion"/>
  </si>
  <si>
    <t>上海</t>
    <phoneticPr fontId="1" type="noConversion"/>
  </si>
  <si>
    <t>深圳</t>
    <phoneticPr fontId="1" type="noConversion"/>
  </si>
  <si>
    <t>柳州</t>
    <phoneticPr fontId="1" type="noConversion"/>
  </si>
  <si>
    <t>惠州</t>
    <phoneticPr fontId="1" type="noConversion"/>
  </si>
  <si>
    <t>厦门</t>
    <phoneticPr fontId="1" type="noConversion"/>
  </si>
  <si>
    <t>北京</t>
    <phoneticPr fontId="1" type="noConversion"/>
  </si>
  <si>
    <t>三亚</t>
    <phoneticPr fontId="1" type="noConversion"/>
  </si>
  <si>
    <t>昆明</t>
    <phoneticPr fontId="1" type="noConversion"/>
  </si>
  <si>
    <t>总评</t>
    <phoneticPr fontId="1" type="noConversion"/>
  </si>
  <si>
    <t>COUNTIFS</t>
    <phoneticPr fontId="1" type="noConversion"/>
  </si>
  <si>
    <t>=COUNTIFS(I2:I16,"&gt;=60",I2:I16,"&lt;70")</t>
    <phoneticPr fontId="1" type="noConversion"/>
  </si>
  <si>
    <t>统计成绩在60-70区间的数据</t>
    <phoneticPr fontId="1" type="noConversion"/>
  </si>
  <si>
    <t>多条件统计，如区间</t>
    <phoneticPr fontId="1" type="noConversion"/>
  </si>
  <si>
    <t>MONTH</t>
    <phoneticPr fontId="1" type="noConversion"/>
  </si>
  <si>
    <t>获取日期中的月份</t>
    <phoneticPr fontId="1" type="noConversion"/>
  </si>
  <si>
    <t>DAY</t>
    <phoneticPr fontId="1" type="noConversion"/>
  </si>
  <si>
    <t>获取日期中的天</t>
    <phoneticPr fontId="1" type="noConversion"/>
  </si>
  <si>
    <t>获取日期中的年份</t>
    <phoneticPr fontId="1" type="noConversion"/>
  </si>
  <si>
    <t>根据所选内容创建</t>
    <phoneticPr fontId="1" type="noConversion"/>
  </si>
  <si>
    <t>分列</t>
    <phoneticPr fontId="1" type="noConversion"/>
  </si>
  <si>
    <t>单列数据分为多列</t>
    <phoneticPr fontId="1" type="noConversion"/>
  </si>
  <si>
    <t>选择性粘贴</t>
    <phoneticPr fontId="1" type="noConversion"/>
  </si>
  <si>
    <t>为每个成绩加5分</t>
    <phoneticPr fontId="1" type="noConversion"/>
  </si>
  <si>
    <t>每个月增发100元（不要忘记单位）</t>
    <phoneticPr fontId="1" type="noConversion"/>
  </si>
  <si>
    <t>多少可以及格</t>
    <phoneticPr fontId="1" type="noConversion"/>
  </si>
  <si>
    <t>语文</t>
    <phoneticPr fontId="1" type="noConversion"/>
  </si>
  <si>
    <t>数学</t>
    <phoneticPr fontId="1" type="noConversion"/>
  </si>
  <si>
    <t>@星号和符号</t>
  </si>
  <si>
    <t>@星号和符号</t>
    <phoneticPr fontId="1" type="noConversion"/>
  </si>
  <si>
    <t>$* 0</t>
    <phoneticPr fontId="1" type="noConversion"/>
  </si>
  <si>
    <t>《@"》"</t>
  </si>
  <si>
    <t>@"@qq.com"</t>
  </si>
  <si>
    <t>1942194789</t>
    <phoneticPr fontId="1" type="noConversion"/>
  </si>
  <si>
    <t>glc@@</t>
  </si>
  <si>
    <t>好</t>
    <phoneticPr fontId="1" type="noConversion"/>
  </si>
  <si>
    <t>格式</t>
    <phoneticPr fontId="1" type="noConversion"/>
  </si>
  <si>
    <t>分段</t>
    <phoneticPr fontId="1" type="noConversion"/>
  </si>
  <si>
    <t>书名号</t>
    <phoneticPr fontId="1" type="noConversion"/>
  </si>
  <si>
    <t>0”KG"</t>
    <phoneticPr fontId="1" type="noConversion"/>
  </si>
  <si>
    <t>0"126.com"</t>
    <phoneticPr fontId="1" type="noConversion"/>
  </si>
  <si>
    <t>数字后缀</t>
    <phoneticPr fontId="1" type="noConversion"/>
  </si>
  <si>
    <t>文字后缀</t>
    <phoneticPr fontId="1" type="noConversion"/>
  </si>
  <si>
    <t>*</t>
    <phoneticPr fontId="1" type="noConversion"/>
  </si>
  <si>
    <t>重复</t>
    <phoneticPr fontId="1" type="noConversion"/>
  </si>
  <si>
    <t>文字</t>
    <phoneticPr fontId="1" type="noConversion"/>
  </si>
  <si>
    <t>老版公式</t>
    <phoneticPr fontId="1" type="noConversion"/>
  </si>
  <si>
    <t>RANK.EQ</t>
    <phoneticPr fontId="1" type="noConversion"/>
  </si>
  <si>
    <t>新版公式，排序(绝对引用)</t>
    <phoneticPr fontId="1" type="noConversion"/>
  </si>
  <si>
    <t>=RANK.EQ(number,ref,order)</t>
    <phoneticPr fontId="1" type="noConversion"/>
  </si>
  <si>
    <t>=RANK.EQ(F12,$F$3:$F$12,0)</t>
    <phoneticPr fontId="1" type="noConversion"/>
  </si>
  <si>
    <t>FIND</t>
    <phoneticPr fontId="1" type="noConversion"/>
  </si>
  <si>
    <t>hellomoto中的o</t>
    <phoneticPr fontId="1" type="noConversion"/>
  </si>
  <si>
    <t>=FIND(char,text,start)</t>
    <phoneticPr fontId="1" type="noConversion"/>
  </si>
  <si>
    <t>拆分数据</t>
    <phoneticPr fontId="1" type="noConversion"/>
  </si>
  <si>
    <t>gl-23-l</t>
    <phoneticPr fontId="1" type="noConversion"/>
  </si>
  <si>
    <t>info</t>
    <phoneticPr fontId="1" type="noConversion"/>
  </si>
  <si>
    <t>name</t>
    <phoneticPr fontId="1" type="noConversion"/>
  </si>
  <si>
    <t>age</t>
    <phoneticPr fontId="1" type="noConversion"/>
  </si>
  <si>
    <t>size</t>
    <phoneticPr fontId="1" type="noConversion"/>
  </si>
  <si>
    <t>hrb-18-xl</t>
    <phoneticPr fontId="1" type="noConversion"/>
  </si>
  <si>
    <t>sz-19-xxl</t>
    <phoneticPr fontId="1" type="noConversion"/>
  </si>
  <si>
    <t>hrb</t>
  </si>
  <si>
    <t>sz</t>
  </si>
  <si>
    <t>l</t>
    <phoneticPr fontId="1" type="noConversion"/>
  </si>
  <si>
    <t>rb</t>
  </si>
  <si>
    <t>z</t>
  </si>
  <si>
    <t>g-20-m</t>
    <phoneticPr fontId="1" type="noConversion"/>
  </si>
  <si>
    <t>利用公式：mid left right len</t>
    <phoneticPr fontId="1" type="noConversion"/>
  </si>
  <si>
    <t>从数据中某个位置开始查找某个字符的位置，默认从1开始</t>
    <phoneticPr fontId="1" type="noConversion"/>
  </si>
  <si>
    <t>从数据左侧截取若干字符</t>
    <phoneticPr fontId="1" type="noConversion"/>
  </si>
  <si>
    <t>从数据右侧截取若干字符</t>
    <phoneticPr fontId="1" type="noConversion"/>
  </si>
  <si>
    <t>搜索表区域首列满足条件的元素；垂直方向</t>
    <phoneticPr fontId="1" type="noConversion"/>
  </si>
  <si>
    <t>HLOOKUP</t>
    <phoneticPr fontId="1" type="noConversion"/>
  </si>
  <si>
    <t>水平方向查找-老版本函数</t>
    <phoneticPr fontId="1" type="noConversion"/>
  </si>
  <si>
    <t>INDEX</t>
    <phoneticPr fontId="1" type="noConversion"/>
  </si>
  <si>
    <t>MATCH</t>
    <phoneticPr fontId="1" type="noConversion"/>
  </si>
  <si>
    <t>=INDEX(array,row_count,[col_count]</t>
    <phoneticPr fontId="1" type="noConversion"/>
  </si>
  <si>
    <t>返回数据某行/某列中某个数据的位置</t>
    <phoneticPr fontId="1" type="noConversion"/>
  </si>
  <si>
    <t>返回数据区域中某行或/和某列的数据</t>
    <phoneticPr fontId="1" type="noConversion"/>
  </si>
  <si>
    <t>=MATCH(val,array,[match_mode])</t>
    <phoneticPr fontId="1" type="noConversion"/>
  </si>
  <si>
    <t>0精准匹配；1小于；-1大于</t>
    <phoneticPr fontId="1" type="noConversion"/>
  </si>
  <si>
    <t>自由查询</t>
    <phoneticPr fontId="1" type="noConversion"/>
  </si>
  <si>
    <t>sn</t>
    <phoneticPr fontId="1" type="noConversion"/>
  </si>
  <si>
    <t>price</t>
    <phoneticPr fontId="1" type="noConversion"/>
  </si>
  <si>
    <t>sale</t>
    <phoneticPr fontId="1" type="noConversion"/>
  </si>
  <si>
    <t>product</t>
    <phoneticPr fontId="1" type="noConversion"/>
  </si>
  <si>
    <t>tv</t>
    <phoneticPr fontId="1" type="noConversion"/>
  </si>
  <si>
    <t>phone</t>
    <phoneticPr fontId="1" type="noConversion"/>
  </si>
  <si>
    <t>laptop</t>
    <phoneticPr fontId="1" type="noConversion"/>
  </si>
  <si>
    <t>pc</t>
    <phoneticPr fontId="1" type="noConversion"/>
  </si>
  <si>
    <t>pad</t>
    <phoneticPr fontId="1" type="noConversion"/>
  </si>
  <si>
    <t>total</t>
    <phoneticPr fontId="1" type="noConversion"/>
  </si>
  <si>
    <t>再利用INDEX找到对应的目标数据</t>
    <phoneticPr fontId="1" type="noConversion"/>
  </si>
  <si>
    <t>分别利用MATCH找到数据对应的行和列</t>
    <phoneticPr fontId="1" type="noConversion"/>
  </si>
  <si>
    <t>第一个-是关键点</t>
    <phoneticPr fontId="1" type="noConversion"/>
  </si>
  <si>
    <t>允许编辑区域</t>
    <phoneticPr fontId="1" type="noConversion"/>
  </si>
  <si>
    <t>同时要开启保护工作表</t>
    <phoneticPr fontId="1" type="noConversion"/>
  </si>
  <si>
    <t>laptop</t>
  </si>
  <si>
    <t>单元格的锁定和隐藏以及允许编辑区域的保护都需要保护工作表来实现</t>
    <phoneticPr fontId="1" type="noConversion"/>
  </si>
  <si>
    <t>单张表的保护</t>
    <phoneticPr fontId="1" type="noConversion"/>
  </si>
  <si>
    <t>整个excel文件的保护</t>
    <phoneticPr fontId="1" type="noConversion"/>
  </si>
  <si>
    <t>工作表内区域保护</t>
    <phoneticPr fontId="1" type="noConversion"/>
  </si>
  <si>
    <r>
      <t>文件</t>
    </r>
    <r>
      <rPr>
        <sz val="11"/>
        <color theme="1"/>
        <rFont val="等线"/>
        <family val="3"/>
        <charset val="134"/>
      </rPr>
      <t>→另存为→</t>
    </r>
    <r>
      <rPr>
        <sz val="11"/>
        <color theme="1"/>
        <rFont val="等线"/>
        <family val="2"/>
        <charset val="134"/>
        <scheme val="minor"/>
      </rPr>
      <t>常规选项</t>
    </r>
    <phoneticPr fontId="1" type="noConversion"/>
  </si>
  <si>
    <t>RANDBETWEEN</t>
  </si>
  <si>
    <t>CHOOSE</t>
    <phoneticPr fontId="1" type="noConversion"/>
  </si>
  <si>
    <t>1-2-3-4-5-6-7-8-9-10</t>
    <phoneticPr fontId="1" type="noConversion"/>
  </si>
  <si>
    <t>随机抽取A、B、C卷</t>
    <phoneticPr fontId="1" type="noConversion"/>
  </si>
  <si>
    <t>根据索引抽取指定序列中的某个数据</t>
    <phoneticPr fontId="1" type="noConversion"/>
  </si>
  <si>
    <t>=CHOOSE(index,val1,val2,val3,...)</t>
    <phoneticPr fontId="1" type="noConversion"/>
  </si>
  <si>
    <t>=RANDBETWEEN(bottom,top)</t>
    <phoneticPr fontId="1" type="noConversion"/>
  </si>
  <si>
    <t>RAND</t>
    <phoneticPr fontId="1" type="noConversion"/>
  </si>
  <si>
    <t>生成指定区间（含区间）内的随机数；可能重复</t>
    <phoneticPr fontId="1" type="noConversion"/>
  </si>
  <si>
    <t>生成0-1之间的随机数，不重复</t>
    <phoneticPr fontId="1" type="noConversion"/>
  </si>
  <si>
    <t>利用CTRL+E：l列异常</t>
    <phoneticPr fontId="1" type="noConversion"/>
  </si>
  <si>
    <t>自由等量分组</t>
    <phoneticPr fontId="1" type="noConversion"/>
  </si>
  <si>
    <t>编号</t>
    <phoneticPr fontId="1" type="noConversion"/>
  </si>
  <si>
    <t>组别</t>
    <phoneticPr fontId="1" type="noConversion"/>
  </si>
  <si>
    <t>s001</t>
    <phoneticPr fontId="1" type="noConversion"/>
  </si>
  <si>
    <t>s002</t>
  </si>
  <si>
    <t>s003</t>
  </si>
  <si>
    <t>s004</t>
  </si>
  <si>
    <t>s005</t>
  </si>
  <si>
    <t>s006</t>
  </si>
  <si>
    <t>s007</t>
  </si>
  <si>
    <t>s008</t>
  </si>
  <si>
    <t>s009</t>
  </si>
  <si>
    <t>s010</t>
  </si>
  <si>
    <t>辅助列</t>
    <phoneticPr fontId="1" type="noConversion"/>
  </si>
  <si>
    <t>s011</t>
    <phoneticPr fontId="1" type="noConversion"/>
  </si>
  <si>
    <t>s012</t>
    <phoneticPr fontId="1" type="noConversion"/>
  </si>
  <si>
    <t>利用rand的唯一性；也可用choose实现；</t>
    <phoneticPr fontId="1" type="noConversion"/>
  </si>
  <si>
    <t>抽奖（1名）</t>
    <phoneticPr fontId="1" type="noConversion"/>
  </si>
  <si>
    <t>抽奖（3名）</t>
    <phoneticPr fontId="1" type="noConversion"/>
  </si>
  <si>
    <t>开发工具</t>
    <phoneticPr fontId="1" type="noConversion"/>
  </si>
  <si>
    <t>完成</t>
    <phoneticPr fontId="1" type="noConversion"/>
  </si>
  <si>
    <t>状态</t>
    <phoneticPr fontId="1" type="noConversion"/>
  </si>
  <si>
    <t>进度</t>
    <phoneticPr fontId="1" type="noConversion"/>
  </si>
  <si>
    <t>win+;</t>
    <phoneticPr fontId="1" type="noConversion"/>
  </si>
  <si>
    <t>WEEKDAY</t>
    <phoneticPr fontId="1" type="noConversion"/>
  </si>
  <si>
    <t>获取日期中的星期</t>
    <phoneticPr fontId="1" type="noConversion"/>
  </si>
  <si>
    <t>同rank一样，array必须是绝对引用</t>
    <phoneticPr fontId="1" type="noConversion"/>
  </si>
  <si>
    <t>SUMPRODUCT</t>
    <phoneticPr fontId="1" type="noConversion"/>
  </si>
  <si>
    <t>多条件求和；乘积求和</t>
    <phoneticPr fontId="1" type="noConversion"/>
  </si>
  <si>
    <t>从数据中间截取一定长度的文本!!!注意是文本，不是数字</t>
    <phoneticPr fontId="1" type="noConversion"/>
  </si>
  <si>
    <t>星期一</t>
    <phoneticPr fontId="1" type="noConversion"/>
  </si>
  <si>
    <r>
      <t xml:space="preserve">
               </t>
    </r>
    <r>
      <rPr>
        <b/>
        <sz val="16"/>
        <rFont val="宋体"/>
        <family val="3"/>
        <charset val="134"/>
      </rPr>
      <t>2021-2022学年秋季学期公共课大学计算机上课时间安排表（12周）</t>
    </r>
    <r>
      <rPr>
        <b/>
        <sz val="9"/>
        <color indexed="10"/>
        <rFont val="宋体"/>
        <family val="3"/>
        <charset val="134"/>
      </rPr>
      <t xml:space="preserve">
（说明：未加括号备注周次/数的默认按学校教学日历安排的时间上课。如“周一1-3，周二6-9（13-17周）”指周一1-3节按教学日历安排的时间上课，周二6-9节第13-17周上课）</t>
    </r>
    <phoneticPr fontId="15" type="noConversion"/>
  </si>
  <si>
    <t>院别</t>
  </si>
  <si>
    <t>外聘/院聘</t>
  </si>
  <si>
    <t>任课老师</t>
  </si>
  <si>
    <t>职称</t>
  </si>
  <si>
    <t>年级</t>
  </si>
  <si>
    <t>专业</t>
  </si>
  <si>
    <t>课程</t>
  </si>
  <si>
    <t>总学时</t>
  </si>
  <si>
    <t>学分</t>
  </si>
  <si>
    <t>选课人数</t>
  </si>
  <si>
    <t>上课时间</t>
  </si>
  <si>
    <t>上课地点</t>
  </si>
  <si>
    <t>备注</t>
  </si>
  <si>
    <t>理工学院</t>
  </si>
  <si>
    <t>院聘</t>
    <phoneticPr fontId="15" type="noConversion"/>
  </si>
  <si>
    <t>罗丹</t>
    <phoneticPr fontId="15" type="noConversion"/>
  </si>
  <si>
    <t>讲师</t>
    <phoneticPr fontId="15" type="noConversion"/>
  </si>
  <si>
    <t>汉语言文学1</t>
    <phoneticPr fontId="15" type="noConversion"/>
  </si>
  <si>
    <t>大学计算机</t>
    <phoneticPr fontId="15" type="noConversion"/>
  </si>
  <si>
    <t>机考</t>
    <phoneticPr fontId="15" type="noConversion"/>
  </si>
  <si>
    <t>谢军华</t>
  </si>
  <si>
    <t>高级讲师</t>
    <phoneticPr fontId="15" type="noConversion"/>
  </si>
  <si>
    <t>汉语言文学2</t>
  </si>
  <si>
    <t>朱新波</t>
  </si>
  <si>
    <t>汉语言文学3</t>
  </si>
  <si>
    <t>裴献</t>
  </si>
  <si>
    <t>副教授</t>
    <phoneticPr fontId="15" type="noConversion"/>
  </si>
  <si>
    <t>汉语国际</t>
    <phoneticPr fontId="15" type="noConversion"/>
  </si>
  <si>
    <t>曾显葵</t>
  </si>
  <si>
    <t>英语1</t>
    <phoneticPr fontId="15" type="noConversion"/>
  </si>
  <si>
    <t>周一1-3</t>
  </si>
  <si>
    <r>
      <t>周二6-9</t>
    </r>
    <r>
      <rPr>
        <sz val="10"/>
        <color indexed="60"/>
        <rFont val="宋体"/>
        <family val="3"/>
        <charset val="134"/>
      </rPr>
      <t>（</t>
    </r>
    <r>
      <rPr>
        <sz val="10"/>
        <color indexed="60"/>
        <rFont val="宋体"/>
        <family val="3"/>
        <charset val="134"/>
      </rPr>
      <t>13-17周）</t>
    </r>
    <phoneticPr fontId="15" type="noConversion"/>
  </si>
  <si>
    <t>秦鹏</t>
  </si>
  <si>
    <t>英语2</t>
  </si>
  <si>
    <t>周一3-5</t>
  </si>
  <si>
    <t>周二6-7</t>
  </si>
  <si>
    <t>张树彬</t>
  </si>
  <si>
    <t>英语3</t>
  </si>
  <si>
    <t>商务英语</t>
    <phoneticPr fontId="15" type="noConversion"/>
  </si>
  <si>
    <t xml:space="preserve">周一6-9 </t>
  </si>
  <si>
    <r>
      <t>周四8-9</t>
    </r>
    <r>
      <rPr>
        <sz val="10"/>
        <color indexed="60"/>
        <rFont val="宋体"/>
        <family val="3"/>
        <charset val="134"/>
      </rPr>
      <t>（13-16周不上）</t>
    </r>
    <phoneticPr fontId="15" type="noConversion"/>
  </si>
  <si>
    <t>泰语</t>
    <phoneticPr fontId="15" type="noConversion"/>
  </si>
  <si>
    <t>周三6-9</t>
  </si>
  <si>
    <t>（8-12周2215，15-17周2415）</t>
  </si>
  <si>
    <r>
      <t>周四6-9</t>
    </r>
    <r>
      <rPr>
        <sz val="10"/>
        <color indexed="60"/>
        <rFont val="宋体"/>
        <family val="3"/>
        <charset val="134"/>
      </rPr>
      <t>（13-17周）</t>
    </r>
    <phoneticPr fontId="15" type="noConversion"/>
  </si>
  <si>
    <t>越南语</t>
    <phoneticPr fontId="15" type="noConversion"/>
  </si>
  <si>
    <t>金云亮</t>
  </si>
  <si>
    <t>助理研究员</t>
    <phoneticPr fontId="15" type="noConversion"/>
  </si>
  <si>
    <t>新闻传播1</t>
    <phoneticPr fontId="15" type="noConversion"/>
  </si>
  <si>
    <t>周二10-12</t>
  </si>
  <si>
    <t>周四10-11</t>
  </si>
  <si>
    <t>韦加法</t>
  </si>
  <si>
    <t>工程师</t>
    <phoneticPr fontId="15" type="noConversion"/>
  </si>
  <si>
    <t>新闻传播2</t>
  </si>
  <si>
    <t>周五1-5</t>
  </si>
  <si>
    <t>小学教育1</t>
    <phoneticPr fontId="15" type="noConversion"/>
  </si>
  <si>
    <t>肖建明</t>
    <phoneticPr fontId="15" type="noConversion"/>
  </si>
  <si>
    <t>小学教育2</t>
  </si>
  <si>
    <t>秦小倩</t>
  </si>
  <si>
    <t>学前教育1</t>
    <phoneticPr fontId="15" type="noConversion"/>
  </si>
  <si>
    <r>
      <t>周四1-5（</t>
    </r>
    <r>
      <rPr>
        <sz val="10"/>
        <color indexed="60"/>
        <rFont val="宋体"/>
        <family val="3"/>
        <charset val="134"/>
      </rPr>
      <t>9-17周</t>
    </r>
    <r>
      <rPr>
        <sz val="10"/>
        <rFont val="宋体"/>
        <family val="3"/>
        <charset val="134"/>
      </rPr>
      <t>）</t>
    </r>
    <phoneticPr fontId="15" type="noConversion"/>
  </si>
  <si>
    <t>学前教育2</t>
    <phoneticPr fontId="15" type="noConversion"/>
  </si>
  <si>
    <r>
      <t>周四6-7（</t>
    </r>
    <r>
      <rPr>
        <sz val="10"/>
        <color indexed="60"/>
        <rFont val="宋体"/>
        <family val="3"/>
        <charset val="134"/>
      </rPr>
      <t>14-17周</t>
    </r>
    <r>
      <rPr>
        <sz val="10"/>
        <rFont val="宋体"/>
        <family val="3"/>
        <charset val="134"/>
      </rPr>
      <t>）</t>
    </r>
    <phoneticPr fontId="15" type="noConversion"/>
  </si>
  <si>
    <t>体育1</t>
    <phoneticPr fontId="15" type="noConversion"/>
  </si>
  <si>
    <t>周一10-11</t>
    <phoneticPr fontId="15" type="noConversion"/>
  </si>
  <si>
    <t>周三10-12</t>
    <phoneticPr fontId="15" type="noConversion"/>
  </si>
  <si>
    <t>体育2</t>
  </si>
  <si>
    <t>周二10-11</t>
    <phoneticPr fontId="15" type="noConversion"/>
  </si>
  <si>
    <t>外聘</t>
    <phoneticPr fontId="15" type="noConversion"/>
  </si>
  <si>
    <t>刘红翼</t>
  </si>
  <si>
    <t>教授</t>
    <phoneticPr fontId="15" type="noConversion"/>
  </si>
  <si>
    <t>体育3</t>
  </si>
  <si>
    <t>周四1-5</t>
    <phoneticPr fontId="15" type="noConversion"/>
  </si>
  <si>
    <t>秦小倩</t>
    <phoneticPr fontId="15" type="noConversion"/>
  </si>
  <si>
    <t>体育4</t>
  </si>
  <si>
    <t>周一1-5</t>
    <phoneticPr fontId="15" type="noConversion"/>
  </si>
  <si>
    <t>林庆南</t>
    <phoneticPr fontId="15" type="noConversion"/>
  </si>
  <si>
    <t>数学与应用数学1</t>
    <phoneticPr fontId="15" type="noConversion"/>
  </si>
  <si>
    <t>刘红翼</t>
    <phoneticPr fontId="15" type="noConversion"/>
  </si>
  <si>
    <t>数学与应用数学2</t>
    <phoneticPr fontId="1" type="noConversion"/>
  </si>
  <si>
    <t>周二6-9</t>
    <phoneticPr fontId="15" type="noConversion"/>
  </si>
  <si>
    <t>2314（9-12周的8-9节不上）</t>
    <phoneticPr fontId="1" type="noConversion"/>
  </si>
  <si>
    <t>周三1-5</t>
    <phoneticPr fontId="15" type="noConversion"/>
  </si>
  <si>
    <t>2314（8-17周，另补1节）</t>
    <phoneticPr fontId="1" type="noConversion"/>
  </si>
  <si>
    <t>2215（8-17周，另补1节）</t>
    <phoneticPr fontId="1" type="noConversion"/>
  </si>
  <si>
    <t>2315（15-17周）</t>
    <phoneticPr fontId="1" type="noConversion"/>
  </si>
  <si>
    <t>2315（9-17周）</t>
    <phoneticPr fontId="1" type="noConversion"/>
  </si>
  <si>
    <t>周四6-9</t>
    <phoneticPr fontId="15" type="noConversion"/>
  </si>
  <si>
    <t>2214（共12周48节，另补3节）</t>
    <phoneticPr fontId="1" type="noConversion"/>
  </si>
  <si>
    <t>周三6-9</t>
    <phoneticPr fontId="1" type="noConversion"/>
  </si>
  <si>
    <t>周三1-5</t>
    <phoneticPr fontId="1" type="noConversion"/>
  </si>
  <si>
    <t>2414（8-17周共50节，另补1节）</t>
    <phoneticPr fontId="1" type="noConversion"/>
  </si>
  <si>
    <t>周三6-9</t>
    <phoneticPr fontId="15" type="noConversion"/>
  </si>
  <si>
    <t>2315（共12周48节，另补3节）</t>
    <phoneticPr fontId="1" type="noConversion"/>
  </si>
  <si>
    <t>2314（共12周48节，另补3节）</t>
    <phoneticPr fontId="1" type="noConversion"/>
  </si>
  <si>
    <t>需求</t>
    <phoneticPr fontId="1" type="noConversion"/>
  </si>
  <si>
    <t>202013010001</t>
    <phoneticPr fontId="1" type="noConversion"/>
  </si>
  <si>
    <t>学号第7-8位代表班级</t>
    <phoneticPr fontId="1" type="noConversion"/>
  </si>
  <si>
    <t>--去除字符型数值前面的0</t>
    <phoneticPr fontId="1" type="noConversion"/>
  </si>
  <si>
    <t>同时操作多个表</t>
    <phoneticPr fontId="1" type="noConversion"/>
  </si>
  <si>
    <t>先选择多个表再编辑，如插入内容、设置样式等；或者一个表一个表复制粘贴</t>
    <phoneticPr fontId="1" type="noConversion"/>
  </si>
  <si>
    <t>拆分字符串</t>
    <phoneticPr fontId="1" type="noConversion"/>
  </si>
  <si>
    <t>单列数据转换格式</t>
    <phoneticPr fontId="1" type="noConversion"/>
  </si>
  <si>
    <t>拆分数字为日期</t>
    <phoneticPr fontId="1" type="noConversion"/>
  </si>
  <si>
    <t>大树软件工程理工学院桂林学院</t>
    <phoneticPr fontId="1" type="noConversion"/>
  </si>
  <si>
    <t>大树</t>
  </si>
  <si>
    <t>软件工程</t>
  </si>
  <si>
    <t>桂林学院</t>
  </si>
  <si>
    <t>经典描述：针对各类商品，比较各部门每个季度的销售额，分别对应：报表筛选、行标签、列表签和数值4个部分</t>
    <phoneticPr fontId="1" type="noConversion"/>
  </si>
  <si>
    <t>配合VLOOKUP函数使用</t>
    <phoneticPr fontId="1" type="noConversion"/>
  </si>
  <si>
    <t>默认/1是西方星期天到星期六；2为星期1-7(常用)</t>
    <phoneticPr fontId="1" type="noConversion"/>
  </si>
  <si>
    <t>现有链接</t>
    <phoneticPr fontId="1" type="noConversion"/>
  </si>
  <si>
    <t>导入本地txt/html</t>
    <phoneticPr fontId="1" type="noConversion"/>
  </si>
  <si>
    <t>套用格式时会删除对应的链接</t>
    <phoneticPr fontId="1" type="noConversion"/>
  </si>
  <si>
    <t>利用身份证判断性别</t>
    <phoneticPr fontId="1" type="noConversion"/>
  </si>
  <si>
    <t>默认位于A3，可通过“移动透视表”置于A1</t>
    <phoneticPr fontId="1" type="noConversion"/>
  </si>
  <si>
    <t>TEXT</t>
    <phoneticPr fontId="1" type="noConversion"/>
  </si>
  <si>
    <t>根据指定的数字格式将数值转换成文本</t>
    <phoneticPr fontId="1" type="noConversion"/>
  </si>
  <si>
    <r>
      <t>偷取系统的格式为我所用：
特殊</t>
    </r>
    <r>
      <rPr>
        <sz val="11"/>
        <color theme="1"/>
        <rFont val="等线"/>
        <family val="2"/>
        <charset val="134"/>
      </rPr>
      <t>→</t>
    </r>
    <r>
      <rPr>
        <sz val="11"/>
        <color theme="1"/>
        <rFont val="等线"/>
        <family val="3"/>
        <charset val="134"/>
      </rPr>
      <t>自定义</t>
    </r>
    <r>
      <rPr>
        <sz val="11"/>
        <color theme="1"/>
        <rFont val="等线"/>
        <family val="2"/>
        <charset val="134"/>
      </rPr>
      <t>→</t>
    </r>
    <r>
      <rPr>
        <sz val="11"/>
        <color theme="1"/>
        <rFont val="等线"/>
        <family val="3"/>
        <charset val="134"/>
      </rPr>
      <t>指定为text的格式串</t>
    </r>
    <phoneticPr fontId="1" type="noConversion"/>
  </si>
  <si>
    <t>为了充分复用公式，可以将公式中的名称改为地址，并根据需要使用绝对地址或相对地址
超级表中，点击表头，可以快速选中某一列数据，公式中默认是该列的名称，手动拖拉部分单元格，然后将
起始和结束指定为列第一个单元格和最后一个第单元格</t>
    <phoneticPr fontId="1" type="noConversion"/>
  </si>
  <si>
    <t>=SUM(F3:F221)</t>
  </si>
  <si>
    <t>按单元格颜色排序</t>
    <phoneticPr fontId="1" type="noConversion"/>
  </si>
  <si>
    <t>创建指向数据的连接，合并计算结果将和源数据保持同步，且分级显示数据；默认显示合并计算后的结果；也可显示合并计算数据的每个子项；文本类的数据不参与运算；记得手动补全丢失的文本标题</t>
    <phoneticPr fontId="1" type="noConversion"/>
  </si>
  <si>
    <t>INDIRECT</t>
    <phoneticPr fontId="1" type="noConversion"/>
  </si>
  <si>
    <t>2415（8-12周）</t>
    <phoneticPr fontId="1" type="noConversion"/>
  </si>
  <si>
    <t>3</t>
    <phoneticPr fontId="1" type="noConversion"/>
  </si>
  <si>
    <t>12</t>
    <phoneticPr fontId="1" type="noConversion"/>
  </si>
  <si>
    <t>上课时间段：9月22日-9月30日、10月8日-10月11日、11月26日-12月31日</t>
    <phoneticPr fontId="1" type="noConversion"/>
  </si>
  <si>
    <t>考核方式</t>
    <phoneticPr fontId="1" type="noConversion"/>
  </si>
  <si>
    <t>1</t>
    <phoneticPr fontId="1" type="noConversion"/>
  </si>
  <si>
    <t>2</t>
    <phoneticPr fontId="1" type="noConversion"/>
  </si>
  <si>
    <t>4</t>
    <phoneticPr fontId="1" type="noConversion"/>
  </si>
  <si>
    <t>5</t>
    <phoneticPr fontId="1" type="noConversion"/>
  </si>
  <si>
    <t>6</t>
    <phoneticPr fontId="1" type="noConversion"/>
  </si>
  <si>
    <t>7</t>
    <phoneticPr fontId="1" type="noConversion"/>
  </si>
  <si>
    <t>8</t>
    <phoneticPr fontId="1" type="noConversion"/>
  </si>
  <si>
    <t>9</t>
    <phoneticPr fontId="1" type="noConversion"/>
  </si>
  <si>
    <t>10</t>
    <phoneticPr fontId="1" type="noConversion"/>
  </si>
  <si>
    <t>11</t>
    <phoneticPr fontId="1" type="noConversion"/>
  </si>
  <si>
    <t>2017计科
25人
2213
13周-17周</t>
    <phoneticPr fontId="1" type="noConversion"/>
  </si>
  <si>
    <t>2019大数据
35人
1507
1周-9周</t>
    <phoneticPr fontId="1" type="noConversion"/>
  </si>
  <si>
    <t>数字+空格+分数</t>
    <phoneticPr fontId="1" type="noConversion"/>
  </si>
  <si>
    <t>修改# ?/?为?/?</t>
    <phoneticPr fontId="1" type="noConversion"/>
  </si>
  <si>
    <t>CTRL+~</t>
    <phoneticPr fontId="1" type="noConversion"/>
  </si>
  <si>
    <r>
      <rPr>
        <sz val="12"/>
        <color theme="1"/>
        <rFont val="等线"/>
        <family val="3"/>
        <charset val="134"/>
      </rPr>
      <t>操作</t>
    </r>
    <phoneticPr fontId="1" type="noConversion"/>
  </si>
  <si>
    <r>
      <rPr>
        <sz val="12"/>
        <color theme="1"/>
        <rFont val="等线"/>
        <family val="3"/>
        <charset val="134"/>
      </rPr>
      <t>示例</t>
    </r>
    <phoneticPr fontId="1" type="noConversion"/>
  </si>
  <si>
    <r>
      <rPr>
        <sz val="12"/>
        <color theme="1"/>
        <rFont val="等线"/>
        <family val="2"/>
        <charset val="134"/>
      </rPr>
      <t>数值格式设置对话框</t>
    </r>
    <phoneticPr fontId="1" type="noConversion"/>
  </si>
  <si>
    <r>
      <rPr>
        <sz val="12"/>
        <color theme="1"/>
        <rFont val="等线"/>
        <family val="2"/>
        <charset val="134"/>
      </rPr>
      <t>快速填充：根据左侧单元格格式动态拆分数据</t>
    </r>
    <phoneticPr fontId="1" type="noConversion"/>
  </si>
  <si>
    <r>
      <rPr>
        <sz val="12"/>
        <color theme="1"/>
        <rFont val="等线"/>
        <family val="2"/>
        <charset val="134"/>
      </rPr>
      <t>超级表，快速筛选数据</t>
    </r>
    <phoneticPr fontId="1" type="noConversion"/>
  </si>
  <si>
    <r>
      <rPr>
        <sz val="12"/>
        <color theme="1"/>
        <rFont val="等线"/>
        <family val="2"/>
        <charset val="134"/>
      </rPr>
      <t>显示公式</t>
    </r>
    <phoneticPr fontId="1" type="noConversion"/>
  </si>
  <si>
    <r>
      <t>CTRL+</t>
    </r>
    <r>
      <rPr>
        <sz val="12"/>
        <color theme="1"/>
        <rFont val="等线"/>
        <family val="2"/>
        <charset val="134"/>
      </rPr>
      <t>；</t>
    </r>
    <phoneticPr fontId="1" type="noConversion"/>
  </si>
  <si>
    <r>
      <rPr>
        <sz val="12"/>
        <color theme="1"/>
        <rFont val="等线"/>
        <family val="2"/>
        <charset val="134"/>
      </rPr>
      <t>快速输入日期；每按一次，输入一次；可多次输入</t>
    </r>
    <phoneticPr fontId="1" type="noConversion"/>
  </si>
  <si>
    <r>
      <t>CTRL+SHIFT+</t>
    </r>
    <r>
      <rPr>
        <sz val="12"/>
        <color theme="1"/>
        <rFont val="等线"/>
        <family val="2"/>
        <charset val="134"/>
      </rPr>
      <t>；</t>
    </r>
    <phoneticPr fontId="1" type="noConversion"/>
  </si>
  <si>
    <r>
      <rPr>
        <sz val="12"/>
        <color theme="1"/>
        <rFont val="等线"/>
        <family val="2"/>
        <charset val="134"/>
      </rPr>
      <t>将某行数据快速生成柱形图</t>
    </r>
    <phoneticPr fontId="1" type="noConversion"/>
  </si>
  <si>
    <r>
      <rPr>
        <sz val="12"/>
        <color theme="1"/>
        <rFont val="等线"/>
        <family val="2"/>
        <charset val="134"/>
      </rPr>
      <t>一键求和：选中数据区域，需额外多出一行和一列存放结果</t>
    </r>
    <phoneticPr fontId="1" type="noConversion"/>
  </si>
  <si>
    <r>
      <rPr>
        <sz val="12"/>
        <color theme="1"/>
        <rFont val="等线"/>
        <family val="2"/>
        <charset val="134"/>
      </rPr>
      <t>行内换行</t>
    </r>
    <phoneticPr fontId="1" type="noConversion"/>
  </si>
  <si>
    <r>
      <rPr>
        <sz val="12"/>
        <color theme="1"/>
        <rFont val="等线"/>
        <family val="2"/>
        <charset val="134"/>
      </rPr>
      <t>不复制隐藏数据：选择数据</t>
    </r>
    <r>
      <rPr>
        <sz val="12"/>
        <color theme="1"/>
        <rFont val="等线"/>
        <family val="3"/>
        <charset val="134"/>
      </rPr>
      <t>→</t>
    </r>
    <r>
      <rPr>
        <sz val="12"/>
        <color theme="1"/>
        <rFont val="Courier New"/>
        <family val="3"/>
      </rPr>
      <t>ALT+;</t>
    </r>
    <r>
      <rPr>
        <sz val="12"/>
        <color theme="1"/>
        <rFont val="等线"/>
        <family val="3"/>
        <charset val="134"/>
      </rPr>
      <t>→复制</t>
    </r>
    <phoneticPr fontId="1" type="noConversion"/>
  </si>
  <si>
    <r>
      <rPr>
        <sz val="12"/>
        <color theme="1"/>
        <rFont val="等线"/>
        <family val="2"/>
        <charset val="134"/>
      </rPr>
      <t>改变列的位置</t>
    </r>
    <phoneticPr fontId="1" type="noConversion"/>
  </si>
  <si>
    <r>
      <rPr>
        <sz val="12"/>
        <color theme="1"/>
        <rFont val="等线"/>
        <family val="2"/>
        <charset val="134"/>
      </rPr>
      <t>选择列</t>
    </r>
    <r>
      <rPr>
        <sz val="12"/>
        <color theme="1"/>
        <rFont val="等线"/>
        <family val="3"/>
        <charset val="134"/>
      </rPr>
      <t>→鼠标置与列的边缘→</t>
    </r>
    <r>
      <rPr>
        <sz val="12"/>
        <color theme="1"/>
        <rFont val="Courier New"/>
        <family val="3"/>
      </rPr>
      <t>shift</t>
    </r>
    <r>
      <rPr>
        <sz val="12"/>
        <color theme="1"/>
        <rFont val="等线"/>
        <family val="3"/>
        <charset val="134"/>
      </rPr>
      <t>并拖动到目标位置</t>
    </r>
    <phoneticPr fontId="1" type="noConversion"/>
  </si>
  <si>
    <r>
      <t>SHIFT+</t>
    </r>
    <r>
      <rPr>
        <sz val="12"/>
        <color theme="1"/>
        <rFont val="等线"/>
        <family val="2"/>
        <charset val="134"/>
      </rPr>
      <t>拖拉</t>
    </r>
  </si>
  <si>
    <r>
      <rPr>
        <sz val="12"/>
        <color theme="1"/>
        <rFont val="等线"/>
        <family val="2"/>
        <charset val="134"/>
      </rPr>
      <t>鼠标切换为平行线状态，向下拖动，在当前选中单元格处添加新行</t>
    </r>
    <phoneticPr fontId="1" type="noConversion"/>
  </si>
  <si>
    <r>
      <rPr>
        <sz val="12"/>
        <color theme="1"/>
        <rFont val="等线"/>
        <family val="2"/>
        <charset val="134"/>
      </rPr>
      <t>添加批注（可设置批注填充为图片）</t>
    </r>
    <phoneticPr fontId="1" type="noConversion"/>
  </si>
  <si>
    <r>
      <rPr>
        <sz val="12"/>
        <color theme="1"/>
        <rFont val="等线"/>
        <family val="2"/>
        <charset val="134"/>
      </rPr>
      <t>打开插入函数对话框</t>
    </r>
    <phoneticPr fontId="1" type="noConversion"/>
  </si>
  <si>
    <r>
      <rPr>
        <sz val="12"/>
        <color theme="1"/>
        <rFont val="等线"/>
        <family val="2"/>
        <charset val="134"/>
      </rPr>
      <t>单元格的绝对引用、重复操作</t>
    </r>
    <phoneticPr fontId="1" type="noConversion"/>
  </si>
  <si>
    <r>
      <rPr>
        <sz val="12"/>
        <color theme="1"/>
        <rFont val="等线"/>
        <family val="2"/>
        <charset val="134"/>
      </rPr>
      <t>定位</t>
    </r>
    <phoneticPr fontId="1" type="noConversion"/>
  </si>
  <si>
    <r>
      <rPr>
        <sz val="12"/>
        <color theme="1"/>
        <rFont val="等线"/>
        <family val="2"/>
        <charset val="134"/>
      </rPr>
      <t>拖拉选择某个区域的单元格，输入内容并按组合键，内容将同时填充到选择的所有单元格</t>
    </r>
    <phoneticPr fontId="1" type="noConversion"/>
  </si>
  <si>
    <r>
      <rPr>
        <sz val="12"/>
        <color theme="1"/>
        <rFont val="等线"/>
        <family val="2"/>
        <charset val="134"/>
      </rPr>
      <t>货币格式</t>
    </r>
    <phoneticPr fontId="1" type="noConversion"/>
  </si>
  <si>
    <r>
      <rPr>
        <sz val="12"/>
        <color theme="1"/>
        <rFont val="等线"/>
        <family val="2"/>
        <charset val="134"/>
      </rPr>
      <t>百分比格式</t>
    </r>
    <phoneticPr fontId="1" type="noConversion"/>
  </si>
  <si>
    <r>
      <rPr>
        <sz val="12"/>
        <color theme="1"/>
        <rFont val="等线"/>
        <family val="2"/>
        <charset val="134"/>
      </rPr>
      <t>新建文件夹</t>
    </r>
    <phoneticPr fontId="1" type="noConversion"/>
  </si>
  <si>
    <r>
      <t>CTRL+SHIFT+</t>
    </r>
    <r>
      <rPr>
        <sz val="12"/>
        <color theme="1"/>
        <rFont val="Calibri"/>
        <family val="2"/>
      </rPr>
      <t>↓</t>
    </r>
    <r>
      <rPr>
        <sz val="12"/>
        <color theme="1"/>
        <rFont val="Courier New"/>
        <family val="3"/>
      </rPr>
      <t>/</t>
    </r>
    <r>
      <rPr>
        <sz val="12"/>
        <color theme="1"/>
        <rFont val="Calibri"/>
        <family val="2"/>
      </rPr>
      <t>→</t>
    </r>
    <phoneticPr fontId="1" type="noConversion"/>
  </si>
  <si>
    <r>
      <rPr>
        <sz val="12"/>
        <color theme="1"/>
        <rFont val="等线"/>
        <family val="2"/>
        <charset val="134"/>
      </rPr>
      <t>快速选择数据</t>
    </r>
    <phoneticPr fontId="1" type="noConversion"/>
  </si>
  <si>
    <r>
      <rPr>
        <sz val="12"/>
        <color theme="1"/>
        <rFont val="等线"/>
        <family val="2"/>
        <charset val="134"/>
      </rPr>
      <t>双击单元格上边缘可以快速返回数据顶部</t>
    </r>
    <phoneticPr fontId="1" type="noConversion"/>
  </si>
  <si>
    <r>
      <rPr>
        <sz val="12"/>
        <color theme="1"/>
        <rFont val="等线"/>
        <family val="2"/>
        <charset val="134"/>
      </rPr>
      <t>单元格对齐</t>
    </r>
    <phoneticPr fontId="1" type="noConversion"/>
  </si>
  <si>
    <r>
      <rPr>
        <sz val="12"/>
        <color theme="1"/>
        <rFont val="等线"/>
        <family val="2"/>
        <charset val="134"/>
      </rPr>
      <t>对齐方式</t>
    </r>
    <r>
      <rPr>
        <sz val="12"/>
        <color theme="1"/>
        <rFont val="等线"/>
        <family val="3"/>
        <charset val="134"/>
      </rPr>
      <t>→</t>
    </r>
    <r>
      <rPr>
        <sz val="12"/>
        <color theme="1"/>
        <rFont val="等线"/>
        <family val="2"/>
        <charset val="134"/>
      </rPr>
      <t>水平对齐</t>
    </r>
    <r>
      <rPr>
        <sz val="12"/>
        <color theme="1"/>
        <rFont val="等线"/>
        <family val="3"/>
        <charset val="134"/>
      </rPr>
      <t>→分散对齐</t>
    </r>
    <phoneticPr fontId="1" type="noConversion"/>
  </si>
  <si>
    <r>
      <rPr>
        <sz val="12"/>
        <color theme="1"/>
        <rFont val="等线"/>
        <family val="2"/>
        <charset val="134"/>
      </rPr>
      <t>插入多行</t>
    </r>
    <phoneticPr fontId="1" type="noConversion"/>
  </si>
  <si>
    <r>
      <rPr>
        <sz val="12"/>
        <color theme="1"/>
        <rFont val="等线"/>
        <family val="2"/>
        <charset val="134"/>
      </rPr>
      <t>选中多行</t>
    </r>
    <r>
      <rPr>
        <sz val="12"/>
        <color theme="1"/>
        <rFont val="等线"/>
        <family val="3"/>
        <charset val="134"/>
      </rPr>
      <t>→右键菜单→插入</t>
    </r>
    <phoneticPr fontId="1" type="noConversion"/>
  </si>
  <si>
    <r>
      <rPr>
        <sz val="12"/>
        <color theme="1"/>
        <rFont val="等线"/>
        <family val="2"/>
        <charset val="134"/>
      </rPr>
      <t>复制数据行</t>
    </r>
    <phoneticPr fontId="1" type="noConversion"/>
  </si>
  <si>
    <r>
      <rPr>
        <sz val="12"/>
        <color theme="1"/>
        <rFont val="等线"/>
        <family val="2"/>
        <charset val="134"/>
      </rPr>
      <t>选择行→</t>
    </r>
    <r>
      <rPr>
        <sz val="12"/>
        <color theme="1"/>
        <rFont val="Courier New"/>
        <family val="3"/>
      </rPr>
      <t>CTRL</t>
    </r>
    <r>
      <rPr>
        <sz val="12"/>
        <color theme="1"/>
        <rFont val="等线"/>
        <family val="2"/>
        <charset val="134"/>
      </rPr>
      <t>→鼠标放到行上</t>
    </r>
    <r>
      <rPr>
        <sz val="12"/>
        <color theme="1"/>
        <rFont val="Courier New"/>
        <family val="3"/>
      </rPr>
      <t>/</t>
    </r>
    <r>
      <rPr>
        <sz val="12"/>
        <color theme="1"/>
        <rFont val="等线"/>
        <family val="2"/>
        <charset val="134"/>
      </rPr>
      <t>下边缘，变为</t>
    </r>
    <r>
      <rPr>
        <sz val="12"/>
        <color theme="1"/>
        <rFont val="Courier New"/>
        <family val="3"/>
      </rPr>
      <t>+</t>
    </r>
    <r>
      <rPr>
        <sz val="12"/>
        <color theme="1"/>
        <rFont val="等线"/>
        <family val="2"/>
        <charset val="134"/>
      </rPr>
      <t>时，拖动到目标位置</t>
    </r>
  </si>
  <si>
    <r>
      <rPr>
        <sz val="12"/>
        <color theme="1"/>
        <rFont val="等线"/>
        <family val="2"/>
        <charset val="134"/>
      </rPr>
      <t>单独移动数据行</t>
    </r>
    <phoneticPr fontId="1" type="noConversion"/>
  </si>
  <si>
    <r>
      <rPr>
        <sz val="12"/>
        <color theme="1"/>
        <rFont val="等线"/>
        <family val="2"/>
        <charset val="134"/>
      </rPr>
      <t>选择行→</t>
    </r>
    <r>
      <rPr>
        <sz val="12"/>
        <color theme="1"/>
        <rFont val="Courier New"/>
        <family val="3"/>
      </rPr>
      <t>SHIFT</t>
    </r>
    <r>
      <rPr>
        <sz val="12"/>
        <color theme="1"/>
        <rFont val="等线"/>
        <family val="2"/>
        <charset val="134"/>
      </rPr>
      <t>→鼠标放到行上</t>
    </r>
    <r>
      <rPr>
        <sz val="12"/>
        <color theme="1"/>
        <rFont val="Courier New"/>
        <family val="3"/>
      </rPr>
      <t>/</t>
    </r>
    <r>
      <rPr>
        <sz val="12"/>
        <color theme="1"/>
        <rFont val="等线"/>
        <family val="2"/>
        <charset val="134"/>
      </rPr>
      <t>下边缘，变为方向箭头时，拖动到目标位置</t>
    </r>
  </si>
  <si>
    <r>
      <rPr>
        <sz val="12"/>
        <color theme="1"/>
        <rFont val="等线"/>
        <family val="2"/>
        <charset val="134"/>
      </rPr>
      <t>单独复制并移动</t>
    </r>
    <phoneticPr fontId="1" type="noConversion"/>
  </si>
  <si>
    <r>
      <t>CTRL+SHIFT</t>
    </r>
    <r>
      <rPr>
        <sz val="12"/>
        <color theme="1"/>
        <rFont val="等线"/>
        <family val="2"/>
        <charset val="134"/>
      </rPr>
      <t>并拖动</t>
    </r>
  </si>
  <si>
    <r>
      <rPr>
        <sz val="12"/>
        <color theme="1"/>
        <rFont val="等线"/>
        <family val="2"/>
        <charset val="134"/>
      </rPr>
      <t>单独删除多行</t>
    </r>
    <phoneticPr fontId="1" type="noConversion"/>
  </si>
  <si>
    <r>
      <t>SHIFT+</t>
    </r>
    <r>
      <rPr>
        <sz val="12"/>
        <color theme="1"/>
        <rFont val="等线"/>
        <family val="2"/>
        <charset val="134"/>
      </rPr>
      <t>回拖拉</t>
    </r>
  </si>
  <si>
    <r>
      <rPr>
        <sz val="12"/>
        <color theme="1"/>
        <rFont val="等线"/>
        <family val="2"/>
        <charset val="134"/>
      </rPr>
      <t>粘贴操作</t>
    </r>
    <phoneticPr fontId="1" type="noConversion"/>
  </si>
  <si>
    <r>
      <rPr>
        <sz val="12"/>
        <color theme="1"/>
        <rFont val="等线"/>
        <family val="2"/>
        <charset val="134"/>
      </rPr>
      <t>行列转置</t>
    </r>
    <phoneticPr fontId="1" type="noConversion"/>
  </si>
  <si>
    <r>
      <rPr>
        <sz val="12"/>
        <color theme="1"/>
        <rFont val="等线"/>
        <family val="2"/>
        <charset val="134"/>
      </rPr>
      <t>复制数据</t>
    </r>
    <r>
      <rPr>
        <sz val="12"/>
        <color theme="1"/>
        <rFont val="等线"/>
        <family val="3"/>
        <charset val="134"/>
      </rPr>
      <t>→定位粘贴位置→选择性粘贴→转置</t>
    </r>
    <r>
      <rPr>
        <sz val="12"/>
        <color theme="1"/>
        <rFont val="等线"/>
        <family val="2"/>
        <charset val="134"/>
      </rPr>
      <t>（行列交互位置）</t>
    </r>
    <phoneticPr fontId="1" type="noConversion"/>
  </si>
  <si>
    <r>
      <rPr>
        <sz val="12"/>
        <color theme="1"/>
        <rFont val="等线"/>
        <family val="2"/>
        <charset val="134"/>
      </rPr>
      <t>数字数据统一处理</t>
    </r>
    <phoneticPr fontId="1" type="noConversion"/>
  </si>
  <si>
    <r>
      <rPr>
        <sz val="12"/>
        <color theme="1"/>
        <rFont val="等线"/>
        <family val="2"/>
        <charset val="134"/>
      </rPr>
      <t>复制某个数字</t>
    </r>
    <r>
      <rPr>
        <sz val="12"/>
        <color theme="1"/>
        <rFont val="等线"/>
        <family val="3"/>
        <charset val="134"/>
      </rPr>
      <t>→选择要统一处理的数据区域→选择性粘贴→加（统一加多少工资）</t>
    </r>
    <phoneticPr fontId="1" type="noConversion"/>
  </si>
  <si>
    <r>
      <rPr>
        <sz val="12"/>
        <color theme="1"/>
        <rFont val="等线"/>
        <family val="2"/>
        <charset val="134"/>
      </rPr>
      <t>冻结窗格</t>
    </r>
    <phoneticPr fontId="1" type="noConversion"/>
  </si>
  <si>
    <r>
      <rPr>
        <sz val="12"/>
        <color theme="1"/>
        <rFont val="等线"/>
        <family val="2"/>
        <charset val="134"/>
      </rPr>
      <t>冻结首行</t>
    </r>
    <phoneticPr fontId="1" type="noConversion"/>
  </si>
  <si>
    <r>
      <rPr>
        <sz val="12"/>
        <color theme="1"/>
        <rFont val="等线"/>
        <family val="2"/>
        <charset val="134"/>
      </rPr>
      <t>冻结多行</t>
    </r>
    <phoneticPr fontId="1" type="noConversion"/>
  </si>
  <si>
    <r>
      <rPr>
        <sz val="12"/>
        <color theme="1"/>
        <rFont val="等线"/>
        <family val="2"/>
        <charset val="134"/>
      </rPr>
      <t>冻结首行首列</t>
    </r>
    <phoneticPr fontId="1" type="noConversion"/>
  </si>
  <si>
    <r>
      <rPr>
        <sz val="12"/>
        <color theme="1"/>
        <rFont val="等线"/>
        <family val="2"/>
        <charset val="134"/>
      </rPr>
      <t>选择首行首列相交单元格右下相邻单元格</t>
    </r>
    <r>
      <rPr>
        <sz val="12"/>
        <color theme="1"/>
        <rFont val="等线"/>
        <family val="3"/>
        <charset val="134"/>
      </rPr>
      <t>→冻结窗格</t>
    </r>
    <phoneticPr fontId="1" type="noConversion"/>
  </si>
  <si>
    <r>
      <rPr>
        <sz val="12"/>
        <color theme="1"/>
        <rFont val="等线"/>
        <family val="2"/>
        <charset val="134"/>
      </rPr>
      <t>冻结多行多列</t>
    </r>
    <phoneticPr fontId="1" type="noConversion"/>
  </si>
  <si>
    <r>
      <rPr>
        <sz val="12"/>
        <color theme="1"/>
        <rFont val="等线"/>
        <family val="2"/>
        <charset val="134"/>
      </rPr>
      <t>找相交单元格右下相邻单元格</t>
    </r>
    <r>
      <rPr>
        <sz val="12"/>
        <color theme="1"/>
        <rFont val="等线"/>
        <family val="3"/>
        <charset val="134"/>
      </rPr>
      <t>→冻结窗格</t>
    </r>
    <phoneticPr fontId="1" type="noConversion"/>
  </si>
  <si>
    <r>
      <rPr>
        <sz val="12"/>
        <color theme="1"/>
        <rFont val="等线"/>
        <family val="2"/>
        <charset val="134"/>
      </rPr>
      <t>符号</t>
    </r>
    <phoneticPr fontId="1" type="noConversion"/>
  </si>
  <si>
    <r>
      <rPr>
        <sz val="12"/>
        <color theme="1"/>
        <rFont val="等线"/>
        <family val="2"/>
        <charset val="134"/>
      </rPr>
      <t>在字体栏的字体前面添加</t>
    </r>
    <r>
      <rPr>
        <sz val="12"/>
        <color theme="1"/>
        <rFont val="Courier New"/>
        <family val="3"/>
      </rPr>
      <t>@</t>
    </r>
    <r>
      <rPr>
        <sz val="12"/>
        <color theme="1"/>
        <rFont val="等线"/>
        <family val="2"/>
        <charset val="134"/>
      </rPr>
      <t>可以竖排文字（</t>
    </r>
    <r>
      <rPr>
        <sz val="12"/>
        <color theme="1"/>
        <rFont val="Courier New"/>
        <family val="3"/>
      </rPr>
      <t>NOT</t>
    </r>
    <r>
      <rPr>
        <sz val="12"/>
        <color theme="1"/>
        <rFont val="等线"/>
        <family val="2"/>
        <charset val="134"/>
      </rPr>
      <t>数字哦）</t>
    </r>
    <phoneticPr fontId="1" type="noConversion"/>
  </si>
  <si>
    <r>
      <rPr>
        <sz val="12"/>
        <color theme="1"/>
        <rFont val="@Microsoft YaHei Light"/>
        <family val="2"/>
        <charset val="134"/>
      </rPr>
      <t>乖，躺下来！</t>
    </r>
    <phoneticPr fontId="1" type="noConversion"/>
  </si>
  <si>
    <r>
      <rPr>
        <sz val="12"/>
        <color theme="1"/>
        <rFont val="等线"/>
        <family val="2"/>
        <charset val="134"/>
      </rPr>
      <t>添加下划线</t>
    </r>
    <phoneticPr fontId="1" type="noConversion"/>
  </si>
  <si>
    <r>
      <rPr>
        <sz val="12"/>
        <color theme="1"/>
        <rFont val="等线"/>
        <family val="2"/>
        <charset val="134"/>
      </rPr>
      <t>姓名：</t>
    </r>
    <phoneticPr fontId="1" type="noConversion"/>
  </si>
  <si>
    <r>
      <rPr>
        <sz val="12"/>
        <color theme="1"/>
        <rFont val="等线"/>
        <family val="2"/>
        <charset val="134"/>
      </rPr>
      <t>项目：</t>
    </r>
    <phoneticPr fontId="1" type="noConversion"/>
  </si>
  <si>
    <r>
      <rPr>
        <sz val="12"/>
        <color theme="1"/>
        <rFont val="等线"/>
        <family val="2"/>
        <charset val="134"/>
      </rPr>
      <t>单位：</t>
    </r>
    <phoneticPr fontId="1" type="noConversion"/>
  </si>
  <si>
    <r>
      <rPr>
        <sz val="12"/>
        <color theme="1"/>
        <rFont val="等线"/>
        <family val="2"/>
        <charset val="134"/>
      </rPr>
      <t>日期：</t>
    </r>
    <phoneticPr fontId="1" type="noConversion"/>
  </si>
  <si>
    <r>
      <rPr>
        <sz val="12"/>
        <color theme="1"/>
        <rFont val="等线"/>
        <family val="2"/>
        <charset val="134"/>
      </rPr>
      <t>前缀</t>
    </r>
    <phoneticPr fontId="1" type="noConversion"/>
  </si>
  <si>
    <r>
      <rPr>
        <sz val="12"/>
        <color theme="1"/>
        <rFont val="等线"/>
        <family val="2"/>
        <charset val="134"/>
      </rPr>
      <t>理工</t>
    </r>
    <phoneticPr fontId="1" type="noConversion"/>
  </si>
  <si>
    <r>
      <rPr>
        <sz val="12"/>
        <color theme="1"/>
        <rFont val="等线"/>
        <family val="2"/>
        <charset val="134"/>
      </rPr>
      <t>经管</t>
    </r>
    <phoneticPr fontId="1" type="noConversion"/>
  </si>
  <si>
    <r>
      <rPr>
        <sz val="12"/>
        <color theme="1"/>
        <rFont val="等线"/>
        <family val="2"/>
        <charset val="134"/>
      </rPr>
      <t>传媒</t>
    </r>
    <phoneticPr fontId="1" type="noConversion"/>
  </si>
  <si>
    <r>
      <rPr>
        <sz val="12"/>
        <color theme="1"/>
        <rFont val="等线"/>
        <family val="2"/>
        <charset val="134"/>
      </rPr>
      <t>体育</t>
    </r>
    <phoneticPr fontId="1" type="noConversion"/>
  </si>
  <si>
    <r>
      <rPr>
        <sz val="12"/>
        <color theme="1"/>
        <rFont val="等线"/>
        <family val="2"/>
        <charset val="134"/>
      </rPr>
      <t>后缀</t>
    </r>
    <phoneticPr fontId="1" type="noConversion"/>
  </si>
  <si>
    <r>
      <rPr>
        <sz val="12"/>
        <color theme="1"/>
        <rFont val="等线"/>
        <family val="2"/>
        <charset val="134"/>
      </rPr>
      <t>《</t>
    </r>
    <r>
      <rPr>
        <sz val="12"/>
        <color theme="1"/>
        <rFont val="Courier New"/>
        <family val="3"/>
      </rPr>
      <t>@</t>
    </r>
    <r>
      <rPr>
        <sz val="12"/>
        <color theme="1"/>
        <rFont val="等线"/>
        <family val="2"/>
        <charset val="134"/>
      </rPr>
      <t>》</t>
    </r>
    <phoneticPr fontId="1" type="noConversion"/>
  </si>
  <si>
    <r>
      <rPr>
        <sz val="12"/>
        <color theme="1"/>
        <rFont val="等线"/>
        <family val="2"/>
        <charset val="134"/>
      </rPr>
      <t>添加书名号</t>
    </r>
    <phoneticPr fontId="1" type="noConversion"/>
  </si>
  <si>
    <r>
      <rPr>
        <sz val="12"/>
        <color theme="1"/>
        <rFont val="等线"/>
        <family val="2"/>
        <charset val="134"/>
      </rPr>
      <t>编译原理</t>
    </r>
    <phoneticPr fontId="1" type="noConversion"/>
  </si>
  <si>
    <r>
      <rPr>
        <sz val="12"/>
        <color theme="1"/>
        <rFont val="等线"/>
        <family val="2"/>
        <charset val="134"/>
      </rPr>
      <t>计算机网络</t>
    </r>
    <phoneticPr fontId="1" type="noConversion"/>
  </si>
  <si>
    <r>
      <t>WEB</t>
    </r>
    <r>
      <rPr>
        <sz val="12"/>
        <color theme="1"/>
        <rFont val="等线"/>
        <family val="2"/>
        <charset val="134"/>
      </rPr>
      <t>开发</t>
    </r>
    <phoneticPr fontId="1" type="noConversion"/>
  </si>
  <si>
    <r>
      <rPr>
        <sz val="12"/>
        <color theme="1"/>
        <rFont val="等线"/>
        <family val="2"/>
        <charset val="134"/>
      </rPr>
      <t>连接单元格的值</t>
    </r>
    <phoneticPr fontId="1" type="noConversion"/>
  </si>
  <si>
    <r>
      <rPr>
        <sz val="12"/>
        <color theme="1"/>
        <rFont val="等线"/>
        <family val="2"/>
        <charset val="134"/>
      </rPr>
      <t>你好</t>
    </r>
    <phoneticPr fontId="1" type="noConversion"/>
  </si>
  <si>
    <r>
      <rPr>
        <sz val="12"/>
        <color theme="1"/>
        <rFont val="等线"/>
        <family val="2"/>
        <charset val="134"/>
      </rPr>
      <t>大树先生</t>
    </r>
    <phoneticPr fontId="1" type="noConversion"/>
  </si>
  <si>
    <r>
      <rPr>
        <sz val="12"/>
        <color theme="1"/>
        <rFont val="等线"/>
        <family val="2"/>
        <charset val="134"/>
      </rPr>
      <t>数值格式的单元格格式设为</t>
    </r>
    <r>
      <rPr>
        <sz val="12"/>
        <color theme="1"/>
        <rFont val="Courier New"/>
        <family val="3"/>
      </rPr>
      <t>#</t>
    </r>
    <r>
      <rPr>
        <sz val="12"/>
        <color theme="1"/>
        <rFont val="等线"/>
        <family val="2"/>
        <charset val="134"/>
      </rPr>
      <t>，当值为</t>
    </r>
    <r>
      <rPr>
        <sz val="12"/>
        <color theme="1"/>
        <rFont val="Courier New"/>
        <family val="3"/>
      </rPr>
      <t>0</t>
    </r>
    <r>
      <rPr>
        <sz val="12"/>
        <color theme="1"/>
        <rFont val="等线"/>
        <family val="2"/>
        <charset val="134"/>
      </rPr>
      <t>时，不显示</t>
    </r>
    <phoneticPr fontId="1" type="noConversion"/>
  </si>
  <si>
    <r>
      <rPr>
        <sz val="12"/>
        <color theme="1"/>
        <rFont val="等线"/>
        <family val="2"/>
        <charset val="134"/>
      </rPr>
      <t>？</t>
    </r>
    <phoneticPr fontId="1" type="noConversion"/>
  </si>
  <si>
    <r>
      <t>0.</t>
    </r>
    <r>
      <rPr>
        <sz val="12"/>
        <color theme="1"/>
        <rFont val="等线"/>
        <family val="2"/>
        <charset val="134"/>
      </rPr>
      <t>？？？小数点位数；如果没有小数则留空；推荐使用系统的</t>
    </r>
    <r>
      <rPr>
        <sz val="12"/>
        <color theme="1"/>
        <rFont val="Courier New"/>
        <family val="3"/>
      </rPr>
      <t>0.00</t>
    </r>
    <r>
      <rPr>
        <sz val="12"/>
        <color theme="1"/>
        <rFont val="等线"/>
        <family val="2"/>
        <charset val="134"/>
      </rPr>
      <t>，可以保留小数位</t>
    </r>
    <phoneticPr fontId="1" type="noConversion"/>
  </si>
  <si>
    <r>
      <rPr>
        <sz val="12"/>
        <color theme="1"/>
        <rFont val="等线"/>
        <family val="2"/>
        <charset val="134"/>
      </rPr>
      <t>其它</t>
    </r>
    <phoneticPr fontId="1" type="noConversion"/>
  </si>
  <si>
    <r>
      <rPr>
        <sz val="12"/>
        <color theme="1"/>
        <rFont val="等线"/>
        <family val="2"/>
        <charset val="134"/>
      </rPr>
      <t>照相机</t>
    </r>
    <phoneticPr fontId="1" type="noConversion"/>
  </si>
  <si>
    <r>
      <rPr>
        <sz val="12"/>
        <color theme="1"/>
        <rFont val="等线"/>
        <family val="2"/>
        <charset val="134"/>
      </rPr>
      <t>文件→选项→快速访问工具栏→不在功能区中的命令→照相机：可作为冻结窗口使用；数据动态更新</t>
    </r>
    <phoneticPr fontId="1" type="noConversion"/>
  </si>
  <si>
    <r>
      <rPr>
        <sz val="12"/>
        <color theme="1"/>
        <rFont val="等线"/>
        <family val="2"/>
        <charset val="134"/>
      </rPr>
      <t>自定义列表</t>
    </r>
    <phoneticPr fontId="1" type="noConversion"/>
  </si>
  <si>
    <r>
      <rPr>
        <sz val="12"/>
        <color theme="1"/>
        <rFont val="等线"/>
        <family val="2"/>
        <charset val="134"/>
      </rPr>
      <t>文件→选项→高级</t>
    </r>
    <r>
      <rPr>
        <sz val="12"/>
        <color theme="1"/>
        <rFont val="等线"/>
        <family val="3"/>
        <charset val="134"/>
      </rPr>
      <t>→编辑自定义列表（最下面）</t>
    </r>
    <r>
      <rPr>
        <sz val="12"/>
        <color theme="1"/>
        <rFont val="等线"/>
        <family val="2"/>
        <charset val="134"/>
      </rPr>
      <t>。可手动输入；也可从单元格导入数据项</t>
    </r>
    <phoneticPr fontId="1" type="noConversion"/>
  </si>
  <si>
    <r>
      <rPr>
        <sz val="12"/>
        <color theme="1"/>
        <rFont val="等线"/>
        <family val="2"/>
        <charset val="134"/>
      </rPr>
      <t>修改自定义单元格样式</t>
    </r>
    <phoneticPr fontId="1" type="noConversion"/>
  </si>
  <si>
    <r>
      <rPr>
        <sz val="12"/>
        <color theme="1"/>
        <rFont val="等线"/>
        <family val="2"/>
        <charset val="134"/>
      </rPr>
      <t>在样式上右键并选择修改或删除；如果有保护的工作表，则必须解除保护才可以</t>
    </r>
    <phoneticPr fontId="1" type="noConversion"/>
  </si>
  <si>
    <r>
      <t>word</t>
    </r>
    <r>
      <rPr>
        <sz val="12"/>
        <color theme="1"/>
        <rFont val="等线"/>
        <family val="2"/>
        <charset val="134"/>
      </rPr>
      <t>表格</t>
    </r>
    <r>
      <rPr>
        <sz val="12"/>
        <color theme="1"/>
        <rFont val="等线"/>
        <family val="3"/>
        <charset val="134"/>
      </rPr>
      <t>→</t>
    </r>
    <r>
      <rPr>
        <sz val="12"/>
        <color theme="1"/>
        <rFont val="Courier New"/>
        <family val="3"/>
      </rPr>
      <t>excel</t>
    </r>
    <phoneticPr fontId="1" type="noConversion"/>
  </si>
  <si>
    <r>
      <rPr>
        <sz val="12"/>
        <color theme="1"/>
        <rFont val="等线"/>
        <family val="2"/>
        <charset val="134"/>
      </rPr>
      <t>将</t>
    </r>
    <r>
      <rPr>
        <sz val="12"/>
        <color theme="1"/>
        <rFont val="Courier New"/>
        <family val="3"/>
      </rPr>
      <t>word</t>
    </r>
    <r>
      <rPr>
        <sz val="12"/>
        <color theme="1"/>
        <rFont val="等线"/>
        <family val="2"/>
        <charset val="134"/>
      </rPr>
      <t>另存为</t>
    </r>
    <r>
      <rPr>
        <sz val="12"/>
        <color theme="1"/>
        <rFont val="Courier New"/>
        <family val="3"/>
      </rPr>
      <t>HTML</t>
    </r>
    <r>
      <rPr>
        <sz val="12"/>
        <color theme="1"/>
        <rFont val="等线"/>
        <family val="2"/>
        <charset val="134"/>
      </rPr>
      <t>，然后在</t>
    </r>
    <r>
      <rPr>
        <sz val="12"/>
        <color theme="1"/>
        <rFont val="Courier New"/>
        <family val="3"/>
      </rPr>
      <t>excel</t>
    </r>
    <r>
      <rPr>
        <sz val="12"/>
        <color theme="1"/>
        <rFont val="等线"/>
        <family val="2"/>
        <charset val="134"/>
      </rPr>
      <t>中打开该网页文件</t>
    </r>
    <phoneticPr fontId="1" type="noConversion"/>
  </si>
  <si>
    <r>
      <t>excel</t>
    </r>
    <r>
      <rPr>
        <sz val="12"/>
        <color theme="1"/>
        <rFont val="等线"/>
        <family val="3"/>
        <charset val="134"/>
      </rPr>
      <t>→</t>
    </r>
    <r>
      <rPr>
        <sz val="12"/>
        <color theme="1"/>
        <rFont val="Courier New"/>
        <family val="3"/>
      </rPr>
      <t>word</t>
    </r>
    <phoneticPr fontId="1" type="noConversion"/>
  </si>
  <si>
    <r>
      <rPr>
        <sz val="12"/>
        <color theme="1"/>
        <rFont val="等线"/>
        <family val="2"/>
        <charset val="134"/>
      </rPr>
      <t>复制</t>
    </r>
    <r>
      <rPr>
        <sz val="12"/>
        <color theme="1"/>
        <rFont val="Courier New"/>
        <family val="3"/>
      </rPr>
      <t>excel</t>
    </r>
    <r>
      <rPr>
        <sz val="12"/>
        <color theme="1"/>
        <rFont val="等线"/>
        <family val="2"/>
        <charset val="134"/>
      </rPr>
      <t>数据，在</t>
    </r>
    <r>
      <rPr>
        <sz val="12"/>
        <color theme="1"/>
        <rFont val="Courier New"/>
        <family val="3"/>
      </rPr>
      <t>word</t>
    </r>
    <r>
      <rPr>
        <sz val="12"/>
        <color theme="1"/>
        <rFont val="等线"/>
        <family val="2"/>
        <charset val="134"/>
      </rPr>
      <t>中选择性粘贴，选择</t>
    </r>
    <r>
      <rPr>
        <sz val="12"/>
        <color theme="1"/>
        <rFont val="Courier New"/>
        <family val="3"/>
      </rPr>
      <t>excel</t>
    </r>
    <r>
      <rPr>
        <sz val="12"/>
        <color theme="1"/>
        <rFont val="等线"/>
        <family val="2"/>
        <charset val="134"/>
      </rPr>
      <t>工作表对象</t>
    </r>
    <phoneticPr fontId="1" type="noConversion"/>
  </si>
  <si>
    <r>
      <t>pdf</t>
    </r>
    <r>
      <rPr>
        <sz val="12"/>
        <color theme="1"/>
        <rFont val="等线"/>
        <family val="3"/>
        <charset val="134"/>
      </rPr>
      <t>→</t>
    </r>
    <r>
      <rPr>
        <sz val="12"/>
        <color theme="1"/>
        <rFont val="Courier New"/>
        <family val="3"/>
      </rPr>
      <t>word</t>
    </r>
    <phoneticPr fontId="1" type="noConversion"/>
  </si>
  <si>
    <r>
      <rPr>
        <sz val="12"/>
        <color theme="1"/>
        <rFont val="等线"/>
        <family val="2"/>
        <charset val="134"/>
      </rPr>
      <t>如果</t>
    </r>
    <r>
      <rPr>
        <sz val="12"/>
        <color theme="1"/>
        <rFont val="Courier New"/>
        <family val="3"/>
      </rPr>
      <t>pdf</t>
    </r>
    <r>
      <rPr>
        <sz val="12"/>
        <color theme="1"/>
        <rFont val="等线"/>
        <family val="2"/>
        <charset val="134"/>
      </rPr>
      <t>可以选择文字，直接在</t>
    </r>
    <r>
      <rPr>
        <sz val="12"/>
        <color theme="1"/>
        <rFont val="Courier New"/>
        <family val="3"/>
      </rPr>
      <t>word</t>
    </r>
    <r>
      <rPr>
        <sz val="12"/>
        <color theme="1"/>
        <rFont val="等线"/>
        <family val="2"/>
        <charset val="134"/>
      </rPr>
      <t>中打开即可</t>
    </r>
    <phoneticPr fontId="1" type="noConversion"/>
  </si>
  <si>
    <r>
      <rPr>
        <sz val="12"/>
        <color theme="1"/>
        <rFont val="等线"/>
        <family val="2"/>
        <charset val="134"/>
      </rPr>
      <t>地址的使用</t>
    </r>
    <phoneticPr fontId="1" type="noConversion"/>
  </si>
  <si>
    <r>
      <t>=SUM(</t>
    </r>
    <r>
      <rPr>
        <sz val="12"/>
        <color theme="1"/>
        <rFont val="等线"/>
        <family val="2"/>
        <charset val="134"/>
      </rPr>
      <t>银行流水</t>
    </r>
    <r>
      <rPr>
        <sz val="12"/>
        <color theme="1"/>
        <rFont val="Courier New"/>
        <family val="3"/>
      </rPr>
      <t>[</t>
    </r>
    <r>
      <rPr>
        <sz val="12"/>
        <color theme="1"/>
        <rFont val="等线"/>
        <family val="2"/>
        <charset val="134"/>
      </rPr>
      <t>收支项目</t>
    </r>
    <r>
      <rPr>
        <sz val="12"/>
        <color theme="1"/>
        <rFont val="Courier New"/>
        <family val="3"/>
      </rPr>
      <t>])</t>
    </r>
  </si>
  <si>
    <r>
      <rPr>
        <sz val="12"/>
        <color theme="1"/>
        <rFont val="等线"/>
        <family val="2"/>
        <charset val="134"/>
      </rPr>
      <t>双击填充</t>
    </r>
    <phoneticPr fontId="1" type="noConversion"/>
  </si>
  <si>
    <r>
      <rPr>
        <sz val="12"/>
        <color theme="1"/>
        <rFont val="等线"/>
        <family val="2"/>
        <charset val="134"/>
      </rPr>
      <t>默认会带有格式，可选中小弹窗：不带格式填充</t>
    </r>
    <phoneticPr fontId="1" type="noConversion"/>
  </si>
  <si>
    <t>插入表情符号</t>
    <phoneticPr fontId="1" type="noConversion"/>
  </si>
  <si>
    <t>year(now())获取当前年份</t>
    <phoneticPr fontId="1" type="noConversion"/>
  </si>
  <si>
    <t>##.##</t>
    <phoneticPr fontId="1" type="noConversion"/>
  </si>
  <si>
    <t>原始数据</t>
    <phoneticPr fontId="1" type="noConversion"/>
  </si>
  <si>
    <t>0#</t>
    <phoneticPr fontId="1" type="noConversion"/>
  </si>
  <si>
    <t>数字位数</t>
    <phoneticPr fontId="1" type="noConversion"/>
  </si>
  <si>
    <t>数字补0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</si>
</sst>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76" formatCode="#"/>
    <numFmt numFmtId="177" formatCode="&quot;glc@&quot;@"/>
    <numFmt numFmtId="178" formatCode="@&quot;@qq.com&quot;"/>
    <numFmt numFmtId="179" formatCode="0.??"/>
    <numFmt numFmtId="180" formatCode="&quot;《&quot;@&quot;》&quot;"/>
    <numFmt numFmtId="181" formatCode="&quot;¥&quot;#,##0.00_);[Red]\(&quot;¥&quot;#,##0.00\)"/>
    <numFmt numFmtId="182" formatCode="@*."/>
    <numFmt numFmtId="183" formatCode="@*-"/>
    <numFmt numFmtId="184" formatCode="@*_"/>
    <numFmt numFmtId="185" formatCode="\$* 0"/>
    <numFmt numFmtId="186" formatCode="000\ 0000\ 0000"/>
    <numFmt numFmtId="187" formatCode="000\-0000\-0000"/>
    <numFmt numFmtId="188" formatCode="0&quot;KG&quot;"/>
    <numFmt numFmtId="189" formatCode="0&quot;@126.com&quot;"/>
    <numFmt numFmtId="190" formatCode="?/?"/>
    <numFmt numFmtId="191" formatCode="##.##"/>
    <numFmt numFmtId="192" formatCode="0#"/>
    <numFmt numFmtId="193" formatCode="00"/>
  </numFmts>
  <fonts count="33">
    <font>
      <sz val="11"/>
      <color theme="1"/>
      <name val="等线"/>
      <family val="2"/>
      <charset val="134"/>
      <scheme val="minor"/>
    </font>
    <font>
      <sz val="9"/>
      <name val="等线"/>
      <family val="2"/>
      <charset val="134"/>
      <scheme val="minor"/>
    </font>
    <font>
      <b/>
      <sz val="11"/>
      <color theme="1"/>
      <name val="等线"/>
      <family val="3"/>
      <charset val="134"/>
      <scheme val="minor"/>
    </font>
    <font>
      <sz val="16"/>
      <color theme="0"/>
      <name val="等线"/>
      <family val="3"/>
      <charset val="134"/>
      <scheme val="minor"/>
    </font>
    <font>
      <sz val="11"/>
      <color theme="1"/>
      <name val="等线"/>
      <family val="3"/>
      <charset val="134"/>
    </font>
    <font>
      <sz val="9"/>
      <color indexed="81"/>
      <name val="宋体"/>
      <family val="3"/>
      <charset val="134"/>
    </font>
    <font>
      <b/>
      <sz val="9"/>
      <color indexed="81"/>
      <name val="宋体"/>
      <family val="3"/>
      <charset val="134"/>
    </font>
    <font>
      <sz val="11"/>
      <color theme="1"/>
      <name val="Wingdings"/>
      <charset val="2"/>
    </font>
    <font>
      <sz val="12"/>
      <name val="宋体"/>
      <family val="3"/>
      <charset val="134"/>
    </font>
    <font>
      <sz val="11"/>
      <color rgb="FFFF0000"/>
      <name val="微软雅黑"/>
      <family val="2"/>
      <charset val="134"/>
    </font>
    <font>
      <sz val="11"/>
      <name val="等线"/>
      <family val="3"/>
      <charset val="134"/>
      <scheme val="minor"/>
    </font>
    <font>
      <sz val="11"/>
      <color theme="1"/>
      <name val="等线"/>
      <family val="2"/>
      <charset val="134"/>
      <scheme val="minor"/>
    </font>
    <font>
      <sz val="11"/>
      <color rgb="FFFF0000"/>
      <name val="等线"/>
      <family val="2"/>
      <charset val="134"/>
      <scheme val="minor"/>
    </font>
    <font>
      <b/>
      <sz val="16"/>
      <name val="宋体"/>
      <family val="3"/>
      <charset val="134"/>
    </font>
    <font>
      <b/>
      <sz val="9"/>
      <color indexed="10"/>
      <name val="宋体"/>
      <family val="3"/>
      <charset val="134"/>
    </font>
    <font>
      <sz val="9"/>
      <name val="宋体"/>
      <family val="3"/>
      <charset val="134"/>
    </font>
    <font>
      <b/>
      <sz val="20"/>
      <name val="宋体"/>
      <family val="3"/>
      <charset val="134"/>
    </font>
    <font>
      <b/>
      <sz val="12"/>
      <name val="宋体"/>
      <family val="3"/>
      <charset val="134"/>
    </font>
    <font>
      <sz val="10"/>
      <name val="宋体"/>
      <family val="3"/>
      <charset val="134"/>
    </font>
    <font>
      <sz val="10"/>
      <name val="等线"/>
      <family val="3"/>
      <charset val="134"/>
      <scheme val="minor"/>
    </font>
    <font>
      <sz val="10"/>
      <color indexed="60"/>
      <name val="宋体"/>
      <family val="3"/>
      <charset val="134"/>
    </font>
    <font>
      <sz val="10"/>
      <color rgb="FFC00000"/>
      <name val="宋体"/>
      <family val="3"/>
      <charset val="134"/>
    </font>
    <font>
      <sz val="12"/>
      <color indexed="8"/>
      <name val="宋体"/>
      <family val="3"/>
      <charset val="134"/>
    </font>
    <font>
      <sz val="10"/>
      <name val="宋体"/>
      <family val="3"/>
      <charset val="134"/>
    </font>
    <font>
      <sz val="10"/>
      <name val="等线"/>
      <family val="3"/>
      <charset val="134"/>
      <scheme val="minor"/>
    </font>
    <font>
      <b/>
      <sz val="9"/>
      <color rgb="FFFF0000"/>
      <name val="宋体"/>
      <family val="3"/>
      <charset val="134"/>
    </font>
    <font>
      <sz val="11"/>
      <color theme="1"/>
      <name val="等线"/>
      <family val="2"/>
      <charset val="134"/>
    </font>
    <font>
      <sz val="12"/>
      <color theme="1"/>
      <name val="Courier New"/>
      <family val="3"/>
    </font>
    <font>
      <sz val="12"/>
      <color theme="1"/>
      <name val="等线"/>
      <family val="3"/>
      <charset val="134"/>
    </font>
    <font>
      <sz val="12"/>
      <color theme="1"/>
      <name val="等线"/>
      <family val="2"/>
      <charset val="134"/>
    </font>
    <font>
      <sz val="12"/>
      <color theme="1"/>
      <name val="Calibri"/>
      <family val="2"/>
    </font>
    <font>
      <sz val="12"/>
      <color theme="1"/>
      <name val="@Microsoft YaHei Light"/>
      <family val="2"/>
      <charset val="134"/>
    </font>
    <font>
      <sz val="12"/>
      <color theme="1"/>
      <name val="宋体"/>
      <family val="3"/>
      <charset val="134"/>
    </font>
  </fonts>
  <fills count="8">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s>
  <borders count="9">
    <border>
      <left/>
      <right/>
      <top/>
      <bottom/>
      <diagonal/>
    </border>
    <border>
      <left style="thin">
        <color theme="4"/>
      </left>
      <right style="thin">
        <color theme="4"/>
      </right>
      <top/>
      <bottom/>
      <diagonal/>
    </border>
    <border>
      <left/>
      <right/>
      <top style="thick">
        <color theme="1" tint="0.34998626667073579"/>
      </top>
      <bottom style="thin">
        <color theme="0" tint="-0.14996795556505021"/>
      </bottom>
      <diagonal/>
    </border>
    <border>
      <left/>
      <right/>
      <top style="thin">
        <color theme="0" tint="-0.14996795556505021"/>
      </top>
      <bottom style="thin">
        <color theme="0" tint="-0.149967955565050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5">
    <xf numFmtId="0" fontId="0" fillId="0" borderId="0">
      <alignment vertical="center"/>
    </xf>
    <xf numFmtId="0" fontId="8" fillId="0" borderId="0">
      <alignment vertical="center"/>
    </xf>
    <xf numFmtId="0" fontId="9" fillId="0" borderId="1">
      <alignment horizontal="center" vertical="center"/>
    </xf>
    <xf numFmtId="9" fontId="11" fillId="0" borderId="0" applyFont="0" applyFill="0" applyBorder="0" applyAlignment="0" applyProtection="0">
      <alignment vertical="center"/>
    </xf>
    <xf numFmtId="0" fontId="22" fillId="0" borderId="0"/>
  </cellStyleXfs>
  <cellXfs count="112">
    <xf numFmtId="0" fontId="0" fillId="0" borderId="0" xfId="0">
      <alignment vertical="center"/>
    </xf>
    <xf numFmtId="0" fontId="2" fillId="0" borderId="0" xfId="0" applyFont="1" applyAlignment="1">
      <alignment horizontal="center" vertical="center"/>
    </xf>
    <xf numFmtId="0" fontId="0" fillId="0" borderId="0" xfId="0" quotePrefix="1">
      <alignment vertical="center"/>
    </xf>
    <xf numFmtId="0" fontId="0" fillId="0" borderId="0" xfId="0" applyAlignment="1">
      <alignment horizontal="left" vertical="center"/>
    </xf>
    <xf numFmtId="177" fontId="0" fillId="0" borderId="0" xfId="0" applyNumberFormat="1">
      <alignment vertical="center"/>
    </xf>
    <xf numFmtId="178" fontId="0" fillId="0" borderId="0" xfId="0" applyNumberFormat="1">
      <alignment vertical="center"/>
    </xf>
    <xf numFmtId="180" fontId="0" fillId="0" borderId="0" xfId="0" applyNumberFormat="1">
      <alignment vertical="center"/>
    </xf>
    <xf numFmtId="14" fontId="0" fillId="0" borderId="0" xfId="0" applyNumberFormat="1">
      <alignment vertical="center"/>
    </xf>
    <xf numFmtId="0" fontId="0" fillId="0" borderId="0" xfId="0" pivotButton="1">
      <alignment vertical="center"/>
    </xf>
    <xf numFmtId="0" fontId="7" fillId="0" borderId="0" xfId="0" applyFont="1">
      <alignment vertical="center"/>
    </xf>
    <xf numFmtId="0" fontId="0" fillId="4" borderId="0" xfId="0" applyFill="1">
      <alignment vertical="center"/>
    </xf>
    <xf numFmtId="22" fontId="0" fillId="0" borderId="0" xfId="0" applyNumberFormat="1">
      <alignment vertical="center"/>
    </xf>
    <xf numFmtId="0" fontId="0" fillId="0" borderId="0" xfId="0" applyAlignment="1">
      <alignment horizontal="center" vertical="center"/>
    </xf>
    <xf numFmtId="0" fontId="0" fillId="0" borderId="0" xfId="0" applyAlignment="1">
      <alignment vertical="center" wrapText="1"/>
    </xf>
    <xf numFmtId="0" fontId="9" fillId="0" borderId="0" xfId="2" applyBorder="1" applyAlignment="1">
      <alignment horizontal="left" vertical="center"/>
    </xf>
    <xf numFmtId="0" fontId="0" fillId="0" borderId="0" xfId="0"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181" fontId="0" fillId="0" borderId="0" xfId="0" applyNumberFormat="1">
      <alignment vertical="center"/>
    </xf>
    <xf numFmtId="182" fontId="0" fillId="0" borderId="0" xfId="0" applyNumberFormat="1">
      <alignment vertical="center"/>
    </xf>
    <xf numFmtId="183" fontId="0" fillId="0" borderId="0" xfId="0" applyNumberFormat="1">
      <alignment vertical="center"/>
    </xf>
    <xf numFmtId="184" fontId="0" fillId="0" borderId="0" xfId="0" applyNumberFormat="1">
      <alignment vertical="center"/>
    </xf>
    <xf numFmtId="185" fontId="0" fillId="0" borderId="0" xfId="0" applyNumberFormat="1">
      <alignment vertical="center"/>
    </xf>
    <xf numFmtId="186" fontId="0" fillId="0" borderId="0" xfId="0" applyNumberFormat="1">
      <alignment vertical="center"/>
    </xf>
    <xf numFmtId="187" fontId="0" fillId="0" borderId="0" xfId="0" applyNumberFormat="1">
      <alignment vertical="center"/>
    </xf>
    <xf numFmtId="188" fontId="0" fillId="0" borderId="0" xfId="0" applyNumberFormat="1">
      <alignment vertical="center"/>
    </xf>
    <xf numFmtId="189" fontId="0" fillId="0" borderId="0" xfId="0" applyNumberFormat="1">
      <alignment vertical="center"/>
    </xf>
    <xf numFmtId="18" fontId="0" fillId="0" borderId="0" xfId="0" applyNumberFormat="1">
      <alignment vertical="center"/>
    </xf>
    <xf numFmtId="0" fontId="0" fillId="0" borderId="0" xfId="0" applyProtection="1">
      <alignment vertical="center"/>
      <protection locked="0"/>
    </xf>
    <xf numFmtId="0" fontId="0" fillId="0" borderId="0" xfId="0" applyProtection="1">
      <alignment vertical="center"/>
      <protection hidden="1"/>
    </xf>
    <xf numFmtId="181" fontId="0" fillId="0" borderId="0" xfId="0" applyNumberFormat="1" applyProtection="1">
      <alignment vertical="center"/>
      <protection hidden="1"/>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12" fillId="0" borderId="0" xfId="0" applyFont="1">
      <alignment vertical="center"/>
    </xf>
    <xf numFmtId="0" fontId="17" fillId="0" borderId="5" xfId="0" applyFont="1" applyBorder="1" applyAlignment="1">
      <alignment horizontal="center" vertical="center" wrapText="1"/>
    </xf>
    <xf numFmtId="0" fontId="17" fillId="0" borderId="5" xfId="0" applyFont="1" applyBorder="1" applyAlignment="1">
      <alignment horizontal="center" vertical="center"/>
    </xf>
    <xf numFmtId="9" fontId="0" fillId="0" borderId="0" xfId="3" applyFont="1" applyBorder="1" applyAlignment="1">
      <alignment horizontal="center" vertical="center"/>
    </xf>
    <xf numFmtId="9" fontId="0" fillId="0" borderId="0" xfId="0" applyNumberFormat="1" applyAlignment="1">
      <alignment horizontal="center" vertical="center"/>
    </xf>
    <xf numFmtId="0" fontId="18" fillId="5" borderId="5" xfId="0" applyFont="1" applyFill="1" applyBorder="1" applyAlignment="1">
      <alignment horizontal="center" vertical="center"/>
    </xf>
    <xf numFmtId="0" fontId="18" fillId="5" borderId="6" xfId="0" applyFont="1" applyFill="1" applyBorder="1" applyAlignment="1">
      <alignment horizontal="center" vertical="center" wrapText="1"/>
    </xf>
    <xf numFmtId="0" fontId="18" fillId="5" borderId="5" xfId="0" applyFont="1" applyFill="1" applyBorder="1" applyAlignment="1">
      <alignment horizontal="center" vertical="center" wrapText="1"/>
    </xf>
    <xf numFmtId="0" fontId="19" fillId="5" borderId="5" xfId="0" applyFont="1" applyFill="1" applyBorder="1" applyAlignment="1">
      <alignment horizontal="center" vertical="center"/>
    </xf>
    <xf numFmtId="0" fontId="19" fillId="5" borderId="5" xfId="0" applyFont="1" applyFill="1" applyBorder="1" applyAlignment="1">
      <alignment horizontal="center" vertical="center" wrapText="1"/>
    </xf>
    <xf numFmtId="0" fontId="23" fillId="5" borderId="5" xfId="0" applyFont="1" applyFill="1" applyBorder="1" applyAlignment="1">
      <alignment horizontal="center" vertical="center" wrapText="1"/>
    </xf>
    <xf numFmtId="0" fontId="18" fillId="5" borderId="5" xfId="4" applyFont="1" applyFill="1" applyBorder="1" applyAlignment="1">
      <alignment horizontal="center" vertical="center" wrapText="1"/>
    </xf>
    <xf numFmtId="0" fontId="23" fillId="5" borderId="5" xfId="4" applyFont="1" applyFill="1" applyBorder="1" applyAlignment="1">
      <alignment horizontal="center" vertical="center" wrapText="1"/>
    </xf>
    <xf numFmtId="0" fontId="18" fillId="6" borderId="5" xfId="0" applyFont="1" applyFill="1" applyBorder="1" applyAlignment="1">
      <alignment horizontal="center" vertical="center"/>
    </xf>
    <xf numFmtId="0" fontId="18" fillId="6" borderId="5" xfId="0" applyFont="1" applyFill="1" applyBorder="1" applyAlignment="1">
      <alignment horizontal="center" vertical="center" wrapText="1"/>
    </xf>
    <xf numFmtId="0" fontId="19" fillId="6" borderId="5" xfId="0" applyFont="1" applyFill="1" applyBorder="1" applyAlignment="1">
      <alignment horizontal="center" vertical="center"/>
    </xf>
    <xf numFmtId="0" fontId="18" fillId="6" borderId="6"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23" fillId="5" borderId="5" xfId="0" applyFont="1" applyFill="1" applyBorder="1" applyAlignment="1">
      <alignment horizontal="left" vertical="center"/>
    </xf>
    <xf numFmtId="0" fontId="24" fillId="5" borderId="5" xfId="0" applyFont="1" applyFill="1" applyBorder="1" applyAlignment="1">
      <alignment horizontal="left" vertical="center"/>
    </xf>
    <xf numFmtId="0" fontId="19" fillId="5" borderId="5" xfId="0" applyFont="1" applyFill="1" applyBorder="1" applyAlignment="1">
      <alignment horizontal="left" vertical="center"/>
    </xf>
    <xf numFmtId="0" fontId="24" fillId="6" borderId="5" xfId="0" applyFont="1" applyFill="1" applyBorder="1" applyAlignment="1">
      <alignment horizontal="left" vertical="center"/>
    </xf>
    <xf numFmtId="0" fontId="18" fillId="5" borderId="5" xfId="0" applyFont="1" applyFill="1" applyBorder="1" applyAlignment="1">
      <alignment horizontal="left" vertical="center"/>
    </xf>
    <xf numFmtId="0" fontId="18" fillId="6" borderId="5" xfId="0" applyFont="1" applyFill="1" applyBorder="1" applyAlignment="1">
      <alignment horizontal="left" vertical="center"/>
    </xf>
    <xf numFmtId="0" fontId="18" fillId="5" borderId="5" xfId="0" applyFont="1" applyFill="1" applyBorder="1" applyAlignment="1">
      <alignment horizontal="left" vertical="center" wrapText="1"/>
    </xf>
    <xf numFmtId="0" fontId="19" fillId="5" borderId="5"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23" fillId="5" borderId="5" xfId="0" applyFont="1" applyFill="1" applyBorder="1" applyAlignment="1">
      <alignment horizontal="left" vertical="center" wrapText="1"/>
    </xf>
    <xf numFmtId="0" fontId="18" fillId="6" borderId="5" xfId="0" applyFont="1" applyFill="1" applyBorder="1" applyAlignment="1">
      <alignment horizontal="left" vertical="center" wrapText="1"/>
    </xf>
    <xf numFmtId="0" fontId="0" fillId="0" borderId="0" xfId="0" applyAlignment="1">
      <alignment horizontal="left" vertical="center" wrapText="1"/>
    </xf>
    <xf numFmtId="0" fontId="12" fillId="6" borderId="0" xfId="0" applyFont="1" applyFill="1">
      <alignment vertical="center"/>
    </xf>
    <xf numFmtId="49" fontId="0" fillId="0" borderId="0" xfId="0" applyNumberFormat="1" applyAlignment="1">
      <alignment horizontal="center" vertical="center"/>
    </xf>
    <xf numFmtId="0" fontId="24" fillId="6" borderId="5" xfId="0" applyFont="1" applyFill="1" applyBorder="1" applyAlignment="1">
      <alignment horizontal="left" vertical="center" wrapText="1"/>
    </xf>
    <xf numFmtId="0" fontId="19" fillId="6" borderId="5" xfId="0" applyFont="1" applyFill="1" applyBorder="1" applyAlignment="1">
      <alignment horizontal="left" vertical="center"/>
    </xf>
    <xf numFmtId="12" fontId="0" fillId="0" borderId="0" xfId="0" applyNumberFormat="1">
      <alignment vertical="center"/>
    </xf>
    <xf numFmtId="190" fontId="0" fillId="0" borderId="0" xfId="0" applyNumberFormat="1">
      <alignment vertical="center"/>
    </xf>
    <xf numFmtId="0" fontId="27" fillId="0" borderId="0" xfId="0" applyFont="1">
      <alignment vertical="center"/>
    </xf>
    <xf numFmtId="0" fontId="27" fillId="3" borderId="0" xfId="0" applyFont="1" applyFill="1" applyAlignment="1">
      <alignment horizontal="center" vertical="center"/>
    </xf>
    <xf numFmtId="0" fontId="27" fillId="3" borderId="0" xfId="0" applyFont="1" applyFill="1">
      <alignment vertical="center"/>
    </xf>
    <xf numFmtId="14" fontId="27" fillId="0" borderId="0" xfId="0" applyNumberFormat="1" applyFont="1">
      <alignment vertical="center"/>
    </xf>
    <xf numFmtId="20" fontId="27" fillId="0" borderId="0" xfId="0" applyNumberFormat="1" applyFont="1">
      <alignment vertical="center"/>
    </xf>
    <xf numFmtId="8" fontId="27" fillId="0" borderId="0" xfId="0" applyNumberFormat="1" applyFont="1">
      <alignment vertical="center"/>
    </xf>
    <xf numFmtId="9" fontId="27" fillId="0" borderId="0" xfId="0" applyNumberFormat="1" applyFont="1">
      <alignment vertical="center"/>
    </xf>
    <xf numFmtId="2" fontId="27" fillId="0" borderId="0" xfId="0" applyNumberFormat="1" applyFont="1">
      <alignment vertical="center"/>
    </xf>
    <xf numFmtId="0" fontId="27" fillId="0" borderId="0" xfId="0" quotePrefix="1" applyFont="1">
      <alignment vertical="center"/>
    </xf>
    <xf numFmtId="177" fontId="27" fillId="0" borderId="0" xfId="0" applyNumberFormat="1" applyFont="1">
      <alignment vertical="center"/>
    </xf>
    <xf numFmtId="178" fontId="27" fillId="0" borderId="0" xfId="0" applyNumberFormat="1" applyFont="1">
      <alignment vertical="center"/>
    </xf>
    <xf numFmtId="180" fontId="27" fillId="0" borderId="0" xfId="0" applyNumberFormat="1" applyFont="1">
      <alignment vertical="center"/>
    </xf>
    <xf numFmtId="176" fontId="27" fillId="0" borderId="0" xfId="0" applyNumberFormat="1" applyFont="1">
      <alignment vertical="center"/>
    </xf>
    <xf numFmtId="179" fontId="27" fillId="0" borderId="0" xfId="0" applyNumberFormat="1" applyFont="1">
      <alignment vertical="center"/>
    </xf>
    <xf numFmtId="49" fontId="27" fillId="0" borderId="0" xfId="0" applyNumberFormat="1" applyFont="1">
      <alignment vertical="center"/>
    </xf>
    <xf numFmtId="0" fontId="32" fillId="0" borderId="0" xfId="0" applyFont="1">
      <alignment vertical="center"/>
    </xf>
    <xf numFmtId="0" fontId="29" fillId="0" borderId="0" xfId="0" applyFont="1">
      <alignment vertical="center"/>
    </xf>
    <xf numFmtId="0" fontId="29" fillId="0" borderId="0" xfId="0" applyFont="1"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8" xfId="0" applyBorder="1" applyAlignment="1">
      <alignment horizontal="left" vertical="center"/>
    </xf>
    <xf numFmtId="0" fontId="0" fillId="6" borderId="0" xfId="0" applyFill="1" applyAlignment="1">
      <alignment horizontal="center" vertical="center" wrapText="1"/>
    </xf>
    <xf numFmtId="0" fontId="0" fillId="6" borderId="0" xfId="0" applyFill="1" applyAlignment="1">
      <alignment horizontal="center" vertical="center"/>
    </xf>
    <xf numFmtId="0" fontId="0" fillId="7" borderId="0" xfId="0" applyFill="1" applyAlignment="1">
      <alignment horizontal="center" vertical="center" wrapText="1"/>
    </xf>
    <xf numFmtId="0" fontId="0" fillId="7" borderId="0" xfId="0" applyFill="1" applyAlignment="1">
      <alignment horizontal="center" vertical="center"/>
    </xf>
    <xf numFmtId="0" fontId="25" fillId="0" borderId="4" xfId="0" applyFont="1" applyBorder="1" applyAlignment="1">
      <alignment horizontal="center" vertical="center" wrapText="1"/>
    </xf>
    <xf numFmtId="0" fontId="16" fillId="0" borderId="4" xfId="0" applyFont="1" applyBorder="1" applyAlignment="1">
      <alignment horizontal="center" vertical="center"/>
    </xf>
    <xf numFmtId="0" fontId="18" fillId="5" borderId="6" xfId="0" applyFont="1" applyFill="1" applyBorder="1" applyAlignment="1">
      <alignment horizontal="center" vertical="center"/>
    </xf>
    <xf numFmtId="0" fontId="18" fillId="5" borderId="7" xfId="0" applyFont="1" applyFill="1" applyBorder="1" applyAlignment="1">
      <alignment horizontal="center" vertical="center"/>
    </xf>
    <xf numFmtId="0" fontId="18" fillId="5" borderId="6" xfId="0" applyFont="1" applyFill="1" applyBorder="1" applyAlignment="1">
      <alignment horizontal="left" vertical="center" wrapText="1"/>
    </xf>
    <xf numFmtId="0" fontId="18" fillId="5" borderId="7" xfId="0" applyFont="1" applyFill="1" applyBorder="1" applyAlignment="1">
      <alignment horizontal="left" vertical="center" wrapText="1"/>
    </xf>
    <xf numFmtId="0" fontId="21" fillId="5" borderId="6" xfId="0" applyFont="1" applyFill="1" applyBorder="1" applyAlignment="1">
      <alignment horizontal="left" vertical="center" wrapText="1"/>
    </xf>
    <xf numFmtId="0" fontId="21" fillId="5" borderId="7" xfId="0" applyFont="1" applyFill="1" applyBorder="1" applyAlignment="1">
      <alignment horizontal="left" vertical="center" wrapText="1"/>
    </xf>
    <xf numFmtId="0" fontId="18" fillId="5" borderId="6" xfId="0" applyFont="1" applyFill="1" applyBorder="1" applyAlignment="1">
      <alignment horizontal="left" vertical="center"/>
    </xf>
    <xf numFmtId="0" fontId="18" fillId="5" borderId="7" xfId="0" applyFont="1" applyFill="1" applyBorder="1" applyAlignment="1">
      <alignment horizontal="left" vertical="center"/>
    </xf>
    <xf numFmtId="0" fontId="3" fillId="2" borderId="0" xfId="0" applyFont="1" applyFill="1" applyAlignment="1">
      <alignment horizontal="center" vertical="center"/>
    </xf>
    <xf numFmtId="0" fontId="0" fillId="0" borderId="0" xfId="0">
      <alignment vertical="center"/>
    </xf>
    <xf numFmtId="191" fontId="0" fillId="0" borderId="0" xfId="0" applyNumberFormat="1">
      <alignment vertical="center"/>
    </xf>
    <xf numFmtId="192" fontId="0" fillId="0" borderId="0" xfId="0" applyNumberFormat="1">
      <alignment vertical="center"/>
    </xf>
    <xf numFmtId="0" fontId="0" fillId="0" borderId="0" xfId="0" applyNumberFormat="1">
      <alignment vertical="center"/>
    </xf>
    <xf numFmtId="193" fontId="0" fillId="0" borderId="0" xfId="0" applyNumberFormat="1">
      <alignment vertical="center"/>
    </xf>
  </cellXfs>
  <cellStyles count="5">
    <cellStyle name="glc" xfId="2" xr:uid="{53D3E008-4870-4A84-9EBE-5F924FA25B2D}"/>
    <cellStyle name="百分比" xfId="3" builtinId="5"/>
    <cellStyle name="常规" xfId="0" builtinId="0"/>
    <cellStyle name="常规 2" xfId="1" xr:uid="{3F9E2F4E-97F5-4FBC-A9F4-1A76596FBCD1}"/>
    <cellStyle name="常规_Sheet1" xfId="4" xr:uid="{AC1FA899-2E0B-4B32-9832-29D38455751B}"/>
  </cellStyles>
  <dxfs count="0"/>
  <tableStyles count="0" defaultTableStyle="TableStyleMedium2" defaultPivotStyle="PivotStyleLight16"/>
  <colors>
    <mruColors>
      <color rgb="FFCC9900"/>
      <color rgb="FF99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4A9D-4183-8274-09CADC439B84}"/>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A9D-4183-8274-09CADC439B84}"/>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4A9D-4183-8274-09CADC439B84}"/>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4A9D-4183-8274-09CADC439B84}"/>
              </c:ext>
            </c:extLst>
          </c:dPt>
          <c:dPt>
            <c:idx val="4"/>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4A9D-4183-8274-09CADC439B84}"/>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4A9D-4183-8274-09CADC439B84}"/>
              </c:ext>
            </c:extLst>
          </c:dPt>
          <c:dPt>
            <c:idx val="6"/>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4A9D-4183-8274-09CADC439B84}"/>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4A9D-4183-8274-09CADC439B84}"/>
              </c:ext>
            </c:extLst>
          </c:dPt>
          <c:dPt>
            <c:idx val="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1-4A9D-4183-8274-09CADC439B84}"/>
              </c:ext>
            </c:extLst>
          </c:dPt>
          <c:dPt>
            <c:idx val="9"/>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3-4A9D-4183-8274-09CADC439B84}"/>
              </c:ext>
            </c:extLst>
          </c:dPt>
          <c:val>
            <c:numLit>
              <c:formatCode>General</c:formatCode>
              <c:ptCount val="10"/>
              <c:pt idx="0">
                <c:v>1</c:v>
              </c:pt>
              <c:pt idx="1">
                <c:v>1</c:v>
              </c:pt>
              <c:pt idx="2">
                <c:v>1</c:v>
              </c:pt>
              <c:pt idx="3">
                <c:v>1</c:v>
              </c:pt>
              <c:pt idx="4">
                <c:v>1</c:v>
              </c:pt>
              <c:pt idx="5">
                <c:v>1</c:v>
              </c:pt>
              <c:pt idx="6">
                <c:v>1</c:v>
              </c:pt>
              <c:pt idx="7">
                <c:v>1</c:v>
              </c:pt>
              <c:pt idx="8">
                <c:v>1</c:v>
              </c:pt>
              <c:pt idx="9">
                <c:v>1</c:v>
              </c:pt>
            </c:numLit>
          </c:val>
          <c:extLst>
            <c:ext xmlns:c16="http://schemas.microsoft.com/office/drawing/2014/chart" uri="{C3380CC4-5D6E-409C-BE32-E72D297353CC}">
              <c16:uniqueId val="{00000004-65EF-4C22-9462-AE0F69C25C29}"/>
            </c:ext>
          </c:extLst>
        </c:ser>
        <c:dLbls>
          <c:showLegendKey val="0"/>
          <c:showVal val="0"/>
          <c:showCatName val="0"/>
          <c:showSerName val="0"/>
          <c:showPercent val="0"/>
          <c:showBubbleSize val="0"/>
          <c:showLeaderLines val="1"/>
        </c:dLbls>
        <c:firstSliceAng val="0"/>
        <c:holeSize val="60"/>
      </c:doughnutChart>
      <c:doughnutChart>
        <c:varyColors val="1"/>
        <c:ser>
          <c:idx val="0"/>
          <c:order val="0"/>
          <c:val>
            <c:numRef>
              <c:f>示例!$O$25:$O$26</c:f>
            </c:numRef>
          </c:val>
          <c:extLst>
            <c:ext xmlns:c16="http://schemas.microsoft.com/office/drawing/2014/chart" uri="{C3380CC4-5D6E-409C-BE32-E72D297353CC}">
              <c16:uniqueId val="{00000000-65EF-4C22-9462-AE0F69C25C2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X$3" lockText="1" noThreeD="1"/>
</file>

<file path=xl/ctrlProps/ctrlProp2.xml><?xml version="1.0" encoding="utf-8"?>
<formControlPr xmlns="http://schemas.microsoft.com/office/spreadsheetml/2009/9/main" objectType="CheckBox" checked="Checked" fmlaLink="$X$4" lockText="1" noThreeD="1"/>
</file>

<file path=xl/ctrlProps/ctrlProp3.xml><?xml version="1.0" encoding="utf-8"?>
<formControlPr xmlns="http://schemas.microsoft.com/office/spreadsheetml/2009/9/main" objectType="CheckBox" checked="Checked" fmlaLink="$X$5" lockText="1" noThreeD="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85725</xdr:colOff>
          <xdr:row>1</xdr:row>
          <xdr:rowOff>123825</xdr:rowOff>
        </xdr:from>
        <xdr:to>
          <xdr:col>22</xdr:col>
          <xdr:colOff>295275</xdr:colOff>
          <xdr:row>3</xdr:row>
          <xdr:rowOff>28575</xdr:rowOff>
        </xdr:to>
        <xdr:sp macro="" textlink="">
          <xdr:nvSpPr>
            <xdr:cNvPr id="12292" name="Check Box 4" hidden="1">
              <a:extLst>
                <a:ext uri="{63B3BB69-23CF-44E3-9099-C40C66FF867C}">
                  <a14:compatExt spid="_x0000_s12292"/>
                </a:ext>
                <a:ext uri="{FF2B5EF4-FFF2-40B4-BE49-F238E27FC236}">
                  <a16:creationId xmlns:a16="http://schemas.microsoft.com/office/drawing/2014/main" id="{00000000-0008-0000-0500-00000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2</xdr:row>
          <xdr:rowOff>123825</xdr:rowOff>
        </xdr:from>
        <xdr:to>
          <xdr:col>22</xdr:col>
          <xdr:colOff>295275</xdr:colOff>
          <xdr:row>4</xdr:row>
          <xdr:rowOff>28575</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5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3</xdr:row>
          <xdr:rowOff>123825</xdr:rowOff>
        </xdr:from>
        <xdr:to>
          <xdr:col>22</xdr:col>
          <xdr:colOff>295275</xdr:colOff>
          <xdr:row>5</xdr:row>
          <xdr:rowOff>28575</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5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15</xdr:col>
      <xdr:colOff>45720</xdr:colOff>
      <xdr:row>19</xdr:row>
      <xdr:rowOff>26670</xdr:rowOff>
    </xdr:from>
    <xdr:to>
      <xdr:col>19</xdr:col>
      <xdr:colOff>563880</xdr:colOff>
      <xdr:row>29</xdr:row>
      <xdr:rowOff>205740</xdr:rowOff>
    </xdr:to>
    <xdr:graphicFrame macro="">
      <xdr:nvGraphicFramePr>
        <xdr:cNvPr id="2" name="图表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472440</xdr:colOff>
      <xdr:row>23</xdr:row>
      <xdr:rowOff>76200</xdr:rowOff>
    </xdr:from>
    <xdr:to>
      <xdr:col>18</xdr:col>
      <xdr:colOff>121920</xdr:colOff>
      <xdr:row>25</xdr:row>
      <xdr:rowOff>68580</xdr:rowOff>
    </xdr:to>
    <xdr:sp macro="" textlink="$O$25">
      <xdr:nvSpPr>
        <xdr:cNvPr id="3" name="文本框 2">
          <a:extLst>
            <a:ext uri="{FF2B5EF4-FFF2-40B4-BE49-F238E27FC236}">
              <a16:creationId xmlns:a16="http://schemas.microsoft.com/office/drawing/2014/main" id="{00000000-0008-0000-0200-000003000000}"/>
            </a:ext>
          </a:extLst>
        </xdr:cNvPr>
        <xdr:cNvSpPr txBox="1"/>
      </xdr:nvSpPr>
      <xdr:spPr>
        <a:xfrm>
          <a:off x="11833860" y="1760220"/>
          <a:ext cx="88392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AE61CA-70D1-474D-893B-4B23C81CD793}" type="TxLink">
            <a:rPr lang="en-US" altLang="en-US" sz="2000" b="0" i="0" u="none" strike="noStrike">
              <a:solidFill>
                <a:srgbClr val="000000"/>
              </a:solidFill>
              <a:latin typeface="等线"/>
              <a:ea typeface="等线"/>
            </a:rPr>
            <a:pPr algn="ctr"/>
            <a:t>78%</a:t>
          </a:fld>
          <a:endParaRPr lang="zh-CN" altLang="en-US"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nplaman" refreshedDate="44378.997830902779" createdVersion="7" refreshedVersion="7" minRefreshableVersion="3" recordCount="36" xr:uid="{7E97625B-D763-44D9-9A2A-DBF9DC1910C9}">
  <cacheSource type="worksheet">
    <worksheetSource ref="O1:U37" sheet="透视表"/>
  </cacheSource>
  <cacheFields count="7">
    <cacheField name="季度" numFmtId="0">
      <sharedItems containsSemiMixedTypes="0" containsString="0" containsNumber="1" containsInteger="1" minValue="1" maxValue="3"/>
    </cacheField>
    <cacheField name="分公司" numFmtId="0">
      <sharedItems count="12">
        <s v="西部2"/>
        <s v="南部3"/>
        <s v="北部2"/>
        <s v="东部3"/>
        <s v="北部1"/>
        <s v="南部2"/>
        <s v="东部2"/>
        <s v="西部1"/>
        <s v="西部3"/>
        <s v="东部1"/>
        <s v="南部1"/>
        <s v="北部3"/>
      </sharedItems>
    </cacheField>
    <cacheField name="产品类别" numFmtId="0">
      <sharedItems count="3">
        <s v="K-1"/>
        <s v="D-2"/>
        <s v="D-1"/>
      </sharedItems>
    </cacheField>
    <cacheField name="产品名称" numFmtId="0">
      <sharedItems count="3">
        <s v="空调"/>
        <s v="电冰箱"/>
        <s v="电视"/>
      </sharedItems>
    </cacheField>
    <cacheField name="销售数量" numFmtId="0">
      <sharedItems containsSemiMixedTypes="0" containsString="0" containsNumber="1" containsInteger="1" minValue="21" maxValue="89"/>
    </cacheField>
    <cacheField name="销售额（万元）" numFmtId="0">
      <sharedItems containsSemiMixedTypes="0" containsString="0" containsNumber="1" minValue="5.1059999999999999" maxValue="38.356000000000002"/>
    </cacheField>
    <cacheField name="销售额排名" numFmtId="0">
      <sharedItems containsSemiMixedTypes="0" containsString="0" containsNumber="1" containsInteger="1" minValue="1" maxValue="3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n v="1"/>
    <x v="0"/>
    <x v="0"/>
    <x v="0"/>
    <n v="89"/>
    <n v="12.282"/>
    <n v="26"/>
  </r>
  <r>
    <n v="1"/>
    <x v="1"/>
    <x v="1"/>
    <x v="1"/>
    <n v="89"/>
    <n v="20.826000000000001"/>
    <n v="9"/>
  </r>
  <r>
    <n v="1"/>
    <x v="2"/>
    <x v="0"/>
    <x v="0"/>
    <n v="89"/>
    <n v="12.282"/>
    <n v="26"/>
  </r>
  <r>
    <n v="1"/>
    <x v="3"/>
    <x v="1"/>
    <x v="1"/>
    <n v="86"/>
    <n v="20.123999999999999"/>
    <n v="10"/>
  </r>
  <r>
    <n v="1"/>
    <x v="4"/>
    <x v="2"/>
    <x v="2"/>
    <n v="86"/>
    <n v="38.356000000000002"/>
    <n v="1"/>
  </r>
  <r>
    <n v="3"/>
    <x v="5"/>
    <x v="0"/>
    <x v="0"/>
    <n v="86"/>
    <n v="30.443999999999999"/>
    <n v="4"/>
  </r>
  <r>
    <n v="3"/>
    <x v="0"/>
    <x v="0"/>
    <x v="0"/>
    <n v="84"/>
    <n v="11.592000000000001"/>
    <n v="28"/>
  </r>
  <r>
    <n v="2"/>
    <x v="6"/>
    <x v="0"/>
    <x v="0"/>
    <n v="79"/>
    <n v="27.966000000000001"/>
    <n v="6"/>
  </r>
  <r>
    <n v="3"/>
    <x v="7"/>
    <x v="2"/>
    <x v="2"/>
    <n v="78"/>
    <n v="34.787999999999997"/>
    <n v="2"/>
  </r>
  <r>
    <n v="3"/>
    <x v="1"/>
    <x v="1"/>
    <x v="1"/>
    <n v="75"/>
    <n v="17.55"/>
    <n v="18"/>
  </r>
  <r>
    <n v="2"/>
    <x v="4"/>
    <x v="2"/>
    <x v="2"/>
    <n v="73"/>
    <n v="32.558"/>
    <n v="3"/>
  </r>
  <r>
    <n v="2"/>
    <x v="8"/>
    <x v="1"/>
    <x v="1"/>
    <n v="69"/>
    <n v="22.149000000000001"/>
    <n v="8"/>
  </r>
  <r>
    <n v="1"/>
    <x v="9"/>
    <x v="2"/>
    <x v="2"/>
    <n v="67"/>
    <n v="18.425000000000001"/>
    <n v="14"/>
  </r>
  <r>
    <n v="3"/>
    <x v="9"/>
    <x v="2"/>
    <x v="2"/>
    <n v="66"/>
    <n v="18.149999999999999"/>
    <n v="16"/>
  </r>
  <r>
    <n v="2"/>
    <x v="3"/>
    <x v="1"/>
    <x v="1"/>
    <n v="65"/>
    <n v="15.21"/>
    <n v="23"/>
  </r>
  <r>
    <n v="1"/>
    <x v="10"/>
    <x v="2"/>
    <x v="2"/>
    <n v="64"/>
    <n v="17.600000000000001"/>
    <n v="17"/>
  </r>
  <r>
    <n v="3"/>
    <x v="4"/>
    <x v="2"/>
    <x v="2"/>
    <n v="64"/>
    <n v="28.544"/>
    <n v="5"/>
  </r>
  <r>
    <n v="2"/>
    <x v="5"/>
    <x v="0"/>
    <x v="0"/>
    <n v="63"/>
    <n v="22.302"/>
    <n v="7"/>
  </r>
  <r>
    <n v="1"/>
    <x v="8"/>
    <x v="1"/>
    <x v="1"/>
    <n v="58"/>
    <n v="18.617999999999999"/>
    <n v="13"/>
  </r>
  <r>
    <n v="3"/>
    <x v="8"/>
    <x v="1"/>
    <x v="1"/>
    <n v="57"/>
    <n v="18.297000000000001"/>
    <n v="15"/>
  </r>
  <r>
    <n v="2"/>
    <x v="9"/>
    <x v="2"/>
    <x v="2"/>
    <n v="56"/>
    <n v="15.4"/>
    <n v="22"/>
  </r>
  <r>
    <n v="2"/>
    <x v="0"/>
    <x v="0"/>
    <x v="0"/>
    <n v="56"/>
    <n v="7.7279999999999998"/>
    <n v="33"/>
  </r>
  <r>
    <n v="1"/>
    <x v="5"/>
    <x v="0"/>
    <x v="0"/>
    <n v="54"/>
    <n v="19.116"/>
    <n v="11"/>
  </r>
  <r>
    <n v="3"/>
    <x v="11"/>
    <x v="1"/>
    <x v="1"/>
    <n v="54"/>
    <n v="17.334"/>
    <n v="19"/>
  </r>
  <r>
    <n v="3"/>
    <x v="2"/>
    <x v="0"/>
    <x v="0"/>
    <n v="53"/>
    <n v="7.3140000000000001"/>
    <n v="35"/>
  </r>
  <r>
    <n v="2"/>
    <x v="11"/>
    <x v="1"/>
    <x v="1"/>
    <n v="48"/>
    <n v="15.407999999999999"/>
    <n v="21"/>
  </r>
  <r>
    <n v="3"/>
    <x v="10"/>
    <x v="2"/>
    <x v="2"/>
    <n v="46"/>
    <n v="12.65"/>
    <n v="25"/>
  </r>
  <r>
    <n v="2"/>
    <x v="1"/>
    <x v="1"/>
    <x v="1"/>
    <n v="45"/>
    <n v="10.53"/>
    <n v="29"/>
  </r>
  <r>
    <n v="3"/>
    <x v="6"/>
    <x v="0"/>
    <x v="0"/>
    <n v="45"/>
    <n v="15.93"/>
    <n v="20"/>
  </r>
  <r>
    <n v="1"/>
    <x v="11"/>
    <x v="1"/>
    <x v="1"/>
    <n v="43"/>
    <n v="13.803000000000001"/>
    <n v="24"/>
  </r>
  <r>
    <n v="2"/>
    <x v="7"/>
    <x v="2"/>
    <x v="2"/>
    <n v="42"/>
    <n v="18.731999999999999"/>
    <n v="12"/>
  </r>
  <r>
    <n v="3"/>
    <x v="3"/>
    <x v="1"/>
    <x v="1"/>
    <n v="39"/>
    <n v="9.1259999999999994"/>
    <n v="31"/>
  </r>
  <r>
    <n v="2"/>
    <x v="2"/>
    <x v="0"/>
    <x v="0"/>
    <n v="37"/>
    <n v="5.1059999999999999"/>
    <n v="36"/>
  </r>
  <r>
    <n v="2"/>
    <x v="10"/>
    <x v="2"/>
    <x v="2"/>
    <n v="27"/>
    <n v="7.4249999999999998"/>
    <n v="34"/>
  </r>
  <r>
    <n v="1"/>
    <x v="6"/>
    <x v="0"/>
    <x v="0"/>
    <n v="24"/>
    <n v="8.4960000000000004"/>
    <n v="32"/>
  </r>
  <r>
    <n v="1"/>
    <x v="7"/>
    <x v="2"/>
    <x v="2"/>
    <n v="21"/>
    <n v="9.3659999999999997"/>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F5B32F-2169-441F-A07D-F20419FECD60}" name="ttbl"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J21:N35" firstHeaderRow="1" firstDataRow="2" firstDataCol="1"/>
  <pivotFields count="7">
    <pivotField showAll="0"/>
    <pivotField axis="axisRow" showAll="0">
      <items count="13">
        <item x="4"/>
        <item x="2"/>
        <item x="11"/>
        <item x="9"/>
        <item x="6"/>
        <item x="3"/>
        <item x="10"/>
        <item x="5"/>
        <item x="1"/>
        <item x="7"/>
        <item x="0"/>
        <item x="8"/>
        <item t="default"/>
      </items>
    </pivotField>
    <pivotField showAll="0">
      <items count="4">
        <item x="2"/>
        <item x="1"/>
        <item x="0"/>
        <item t="default"/>
      </items>
    </pivotField>
    <pivotField axis="axisCol" showAll="0">
      <items count="4">
        <item x="1"/>
        <item x="2"/>
        <item x="0"/>
        <item t="default"/>
      </items>
    </pivotField>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name="求和项:销售数量"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黄绿色">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5.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tring@" TargetMode="External"/><Relationship Id="rId1" Type="http://schemas.openxmlformats.org/officeDocument/2006/relationships/hyperlink" Target="mailto:&#22312;&#23383;&#20307;&#26639;&#30340;&#23383;&#20307;&#21069;&#38754;&#28155;&#21152;@&#21487;&#20197;&#31446;&#25490;&#25991;&#23383;&#65288;NOT&#25968;&#23383;&#21734;&#65289;" TargetMode="External"/><Relationship Id="rId5" Type="http://schemas.openxmlformats.org/officeDocument/2006/relationships/comments" Target="../comments2.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20CF-BB9C-4684-99FD-E5A181E94A16}">
  <sheetPr>
    <tabColor rgb="FFC00000"/>
    <pageSetUpPr fitToPage="1"/>
  </sheetPr>
  <dimension ref="A1:I109"/>
  <sheetViews>
    <sheetView zoomScaleNormal="100" zoomScaleSheetLayoutView="100" workbookViewId="0">
      <pane ySplit="1" topLeftCell="A44" activePane="bottomLeft" state="frozen"/>
      <selection activeCell="G22" sqref="G22"/>
      <selection pane="bottomLeft" sqref="A1:A1048576"/>
    </sheetView>
  </sheetViews>
  <sheetFormatPr defaultColWidth="9" defaultRowHeight="14.25"/>
  <cols>
    <col min="1" max="1" width="10.625" style="12" customWidth="1"/>
    <col min="2" max="2" width="14.75" style="12" customWidth="1"/>
    <col min="3" max="3" width="20.5" style="15" bestFit="1" customWidth="1"/>
    <col min="4" max="4" width="18.75" customWidth="1"/>
    <col min="5" max="5" width="109.375" bestFit="1" customWidth="1"/>
    <col min="6" max="6" width="11.625" bestFit="1" customWidth="1"/>
  </cols>
  <sheetData>
    <row r="1" spans="1:7">
      <c r="A1" s="12" t="s">
        <v>361</v>
      </c>
      <c r="B1" s="12" t="s">
        <v>389</v>
      </c>
      <c r="C1" s="15" t="s">
        <v>241</v>
      </c>
      <c r="D1" t="s">
        <v>134</v>
      </c>
      <c r="E1" t="s">
        <v>391</v>
      </c>
      <c r="F1" t="s">
        <v>385</v>
      </c>
    </row>
    <row r="2" spans="1:7">
      <c r="A2" s="12" t="s">
        <v>59</v>
      </c>
      <c r="B2" s="12" t="s">
        <v>77</v>
      </c>
      <c r="C2" s="62"/>
    </row>
    <row r="3" spans="1:7">
      <c r="B3" s="12" t="s">
        <v>67</v>
      </c>
      <c r="C3" s="62"/>
      <c r="E3" t="s">
        <v>335</v>
      </c>
    </row>
    <row r="4" spans="1:7">
      <c r="B4" s="12" t="s">
        <v>316</v>
      </c>
      <c r="C4" s="62"/>
      <c r="E4" t="s">
        <v>317</v>
      </c>
    </row>
    <row r="5" spans="1:7">
      <c r="B5" s="12" t="s">
        <v>351</v>
      </c>
      <c r="C5" s="62"/>
      <c r="E5" t="s">
        <v>352</v>
      </c>
    </row>
    <row r="6" spans="1:7" ht="17.45" customHeight="1">
      <c r="A6" s="12" t="s">
        <v>63</v>
      </c>
      <c r="B6" s="87" t="s">
        <v>233</v>
      </c>
      <c r="C6" s="62"/>
      <c r="D6" t="s">
        <v>354</v>
      </c>
      <c r="E6" t="s">
        <v>357</v>
      </c>
    </row>
    <row r="7" spans="1:7" ht="13.9" customHeight="1">
      <c r="B7" s="87"/>
      <c r="C7" s="62"/>
      <c r="D7" t="s">
        <v>355</v>
      </c>
      <c r="E7" t="s">
        <v>358</v>
      </c>
    </row>
    <row r="8" spans="1:7" ht="13.9" customHeight="1">
      <c r="B8" s="87"/>
      <c r="C8" s="62"/>
      <c r="D8" t="s">
        <v>356</v>
      </c>
      <c r="E8" t="s">
        <v>359</v>
      </c>
    </row>
    <row r="9" spans="1:7" ht="13.9" customHeight="1">
      <c r="B9" s="87" t="s">
        <v>465</v>
      </c>
      <c r="C9" s="62"/>
      <c r="E9" t="s">
        <v>466</v>
      </c>
      <c r="F9">
        <v>55</v>
      </c>
      <c r="G9">
        <v>5</v>
      </c>
    </row>
    <row r="10" spans="1:7" ht="13.9" customHeight="1">
      <c r="B10" s="87"/>
      <c r="C10" s="62"/>
      <c r="E10" t="s">
        <v>467</v>
      </c>
      <c r="F10" s="18">
        <v>5800</v>
      </c>
      <c r="G10" s="18">
        <v>100</v>
      </c>
    </row>
    <row r="11" spans="1:7" ht="13.9" customHeight="1">
      <c r="B11" s="12" t="s">
        <v>373</v>
      </c>
      <c r="C11" s="62"/>
      <c r="E11" t="s">
        <v>374</v>
      </c>
    </row>
    <row r="12" spans="1:7" ht="13.9" customHeight="1">
      <c r="B12" s="87" t="s">
        <v>71</v>
      </c>
      <c r="C12" s="88" t="s">
        <v>395</v>
      </c>
      <c r="D12" t="s">
        <v>394</v>
      </c>
    </row>
    <row r="13" spans="1:7" ht="13.9" customHeight="1">
      <c r="B13" s="87"/>
      <c r="C13" s="88"/>
      <c r="D13" t="s">
        <v>396</v>
      </c>
    </row>
    <row r="14" spans="1:7" ht="13.9" customHeight="1">
      <c r="B14" s="87"/>
      <c r="C14" s="88"/>
      <c r="D14" t="s">
        <v>399</v>
      </c>
    </row>
    <row r="15" spans="1:7" ht="13.9" customHeight="1">
      <c r="B15" s="87"/>
      <c r="C15" s="88"/>
      <c r="D15" t="s">
        <v>400</v>
      </c>
    </row>
    <row r="16" spans="1:7" ht="13.9" customHeight="1">
      <c r="B16" s="87"/>
      <c r="C16" s="88"/>
      <c r="D16" t="s">
        <v>401</v>
      </c>
    </row>
    <row r="17" spans="1:6" ht="13.9" customHeight="1">
      <c r="B17" s="87"/>
      <c r="C17" s="88"/>
      <c r="D17" t="s">
        <v>397</v>
      </c>
      <c r="E17" t="s">
        <v>398</v>
      </c>
    </row>
    <row r="18" spans="1:6" ht="13.9" customHeight="1">
      <c r="B18" s="12" t="s">
        <v>371</v>
      </c>
      <c r="C18" s="62"/>
      <c r="D18" t="s">
        <v>372</v>
      </c>
      <c r="E18" t="s">
        <v>376</v>
      </c>
    </row>
    <row r="19" spans="1:6" ht="13.9" customHeight="1">
      <c r="B19" s="12" t="s">
        <v>193</v>
      </c>
      <c r="C19" s="62"/>
      <c r="D19" t="s">
        <v>234</v>
      </c>
    </row>
    <row r="20" spans="1:6" ht="15.6" customHeight="1">
      <c r="C20" s="62"/>
      <c r="E20" s="14" t="s">
        <v>194</v>
      </c>
    </row>
    <row r="21" spans="1:6" ht="13.9" customHeight="1">
      <c r="B21" s="12" t="s">
        <v>72</v>
      </c>
      <c r="C21" s="62"/>
    </row>
    <row r="22" spans="1:6" ht="13.9" customHeight="1">
      <c r="B22" s="12" t="s">
        <v>73</v>
      </c>
      <c r="C22" s="62"/>
    </row>
    <row r="23" spans="1:6" ht="13.9" customHeight="1">
      <c r="C23" s="62"/>
    </row>
    <row r="24" spans="1:6" ht="13.9" customHeight="1">
      <c r="B24" s="12" t="s">
        <v>336</v>
      </c>
      <c r="C24" s="62"/>
      <c r="E24" t="s">
        <v>349</v>
      </c>
    </row>
    <row r="25" spans="1:6" ht="13.9" customHeight="1">
      <c r="B25" s="12" t="s">
        <v>337</v>
      </c>
      <c r="C25" s="62"/>
      <c r="E25" t="s">
        <v>338</v>
      </c>
    </row>
    <row r="26" spans="1:6" ht="13.9" customHeight="1">
      <c r="A26" s="12" t="s">
        <v>61</v>
      </c>
      <c r="B26" s="12" t="s">
        <v>366</v>
      </c>
      <c r="C26" s="62"/>
      <c r="D26" t="s">
        <v>367</v>
      </c>
      <c r="E26" t="s">
        <v>375</v>
      </c>
    </row>
    <row r="27" spans="1:6" ht="13.9" customHeight="1">
      <c r="B27" s="87" t="s">
        <v>326</v>
      </c>
      <c r="C27" s="62"/>
      <c r="D27" t="s">
        <v>85</v>
      </c>
      <c r="F27" s="87" t="s">
        <v>407</v>
      </c>
    </row>
    <row r="28" spans="1:6" ht="13.9" customHeight="1">
      <c r="B28" s="87"/>
      <c r="C28" s="62"/>
      <c r="D28" t="s">
        <v>83</v>
      </c>
      <c r="E28" t="s">
        <v>330</v>
      </c>
      <c r="F28" s="87"/>
    </row>
    <row r="29" spans="1:6" ht="13.9" customHeight="1">
      <c r="B29" s="87"/>
      <c r="C29" s="62"/>
      <c r="D29" t="s">
        <v>84</v>
      </c>
      <c r="E29" t="s">
        <v>328</v>
      </c>
      <c r="F29" s="87"/>
    </row>
    <row r="30" spans="1:6" ht="13.9" customHeight="1">
      <c r="B30" s="87"/>
      <c r="C30" s="62"/>
      <c r="D30" t="s">
        <v>406</v>
      </c>
      <c r="F30" s="87"/>
    </row>
    <row r="31" spans="1:6" ht="13.9" customHeight="1">
      <c r="B31" s="87"/>
      <c r="C31" s="62"/>
      <c r="D31" t="s">
        <v>327</v>
      </c>
      <c r="F31" s="87"/>
    </row>
    <row r="32" spans="1:6" ht="13.9" customHeight="1">
      <c r="B32" s="87"/>
      <c r="C32" s="62"/>
      <c r="D32" t="s">
        <v>79</v>
      </c>
      <c r="F32" s="87"/>
    </row>
    <row r="33" spans="2:6" ht="13.9" customHeight="1">
      <c r="B33" s="87"/>
      <c r="C33" s="62"/>
      <c r="D33" t="s">
        <v>329</v>
      </c>
      <c r="E33" t="s">
        <v>408</v>
      </c>
      <c r="F33" s="87"/>
    </row>
    <row r="34" spans="2:6" ht="13.9" customHeight="1">
      <c r="B34" s="87"/>
      <c r="C34" s="62"/>
      <c r="D34" t="s">
        <v>81</v>
      </c>
      <c r="F34" s="87"/>
    </row>
    <row r="35" spans="2:6" ht="13.9" customHeight="1">
      <c r="B35" s="87"/>
      <c r="C35" s="62"/>
      <c r="D35" t="s">
        <v>80</v>
      </c>
      <c r="F35" s="87"/>
    </row>
    <row r="36" spans="2:6" ht="13.9" customHeight="1">
      <c r="B36" s="87"/>
      <c r="C36" s="62"/>
      <c r="D36" t="s">
        <v>68</v>
      </c>
      <c r="E36" t="s">
        <v>331</v>
      </c>
      <c r="F36" s="87"/>
    </row>
    <row r="37" spans="2:6" ht="13.9" customHeight="1">
      <c r="B37" s="87"/>
      <c r="C37" s="62"/>
      <c r="D37" t="s">
        <v>332</v>
      </c>
      <c r="F37" s="87"/>
    </row>
    <row r="38" spans="2:6" ht="13.9" customHeight="1">
      <c r="B38" s="87"/>
      <c r="C38" s="62"/>
      <c r="D38" t="s">
        <v>333</v>
      </c>
      <c r="F38" s="87"/>
    </row>
    <row r="39" spans="2:6" ht="13.9" customHeight="1">
      <c r="B39" s="87" t="s">
        <v>370</v>
      </c>
      <c r="C39" s="89"/>
      <c r="D39" s="87"/>
      <c r="E39" t="s">
        <v>705</v>
      </c>
    </row>
    <row r="40" spans="2:6" ht="13.9" customHeight="1">
      <c r="B40" s="87"/>
      <c r="C40" s="89"/>
      <c r="D40" s="87"/>
      <c r="E40" t="s">
        <v>409</v>
      </c>
    </row>
    <row r="41" spans="2:6" ht="13.9" customHeight="1">
      <c r="B41" s="87"/>
      <c r="C41" s="89"/>
      <c r="D41" s="87"/>
      <c r="E41" t="s">
        <v>698</v>
      </c>
    </row>
    <row r="42" spans="2:6" ht="13.9" customHeight="1">
      <c r="B42" s="12" t="s">
        <v>369</v>
      </c>
      <c r="C42" s="62"/>
      <c r="E42" t="s">
        <v>410</v>
      </c>
    </row>
    <row r="43" spans="2:6">
      <c r="B43" s="12" t="s">
        <v>334</v>
      </c>
      <c r="C43" s="62"/>
      <c r="E43" t="s">
        <v>388</v>
      </c>
      <c r="F43" t="s">
        <v>387</v>
      </c>
    </row>
    <row r="44" spans="2:6">
      <c r="B44" s="87" t="s">
        <v>368</v>
      </c>
      <c r="C44" s="88" t="s">
        <v>390</v>
      </c>
      <c r="D44" t="s">
        <v>378</v>
      </c>
      <c r="E44" t="s">
        <v>380</v>
      </c>
      <c r="F44" s="87" t="s">
        <v>387</v>
      </c>
    </row>
    <row r="45" spans="2:6">
      <c r="B45" s="87"/>
      <c r="C45" s="88"/>
      <c r="D45" t="s">
        <v>379</v>
      </c>
      <c r="E45" t="s">
        <v>382</v>
      </c>
      <c r="F45" s="87"/>
    </row>
    <row r="46" spans="2:6">
      <c r="B46" s="87"/>
      <c r="C46" s="88"/>
      <c r="D46" t="s">
        <v>377</v>
      </c>
      <c r="E46" t="s">
        <v>381</v>
      </c>
      <c r="F46" s="87"/>
    </row>
    <row r="47" spans="2:6">
      <c r="B47" s="87"/>
      <c r="C47" s="88"/>
      <c r="D47" t="s">
        <v>83</v>
      </c>
      <c r="E47" t="s">
        <v>384</v>
      </c>
      <c r="F47" s="87"/>
    </row>
    <row r="48" spans="2:6">
      <c r="B48" s="87"/>
      <c r="C48" s="88"/>
      <c r="D48" t="s">
        <v>383</v>
      </c>
      <c r="E48" t="s">
        <v>386</v>
      </c>
      <c r="F48" s="87"/>
    </row>
    <row r="49" spans="1:5">
      <c r="A49" s="12" t="s">
        <v>64</v>
      </c>
      <c r="B49" s="12" t="s">
        <v>78</v>
      </c>
      <c r="C49" s="62"/>
    </row>
    <row r="50" spans="1:5">
      <c r="B50" s="12" t="s">
        <v>68</v>
      </c>
      <c r="C50" s="3"/>
      <c r="D50" t="s">
        <v>417</v>
      </c>
    </row>
    <row r="51" spans="1:5">
      <c r="B51" s="12" t="s">
        <v>423</v>
      </c>
      <c r="C51" s="3" t="s">
        <v>425</v>
      </c>
      <c r="D51" t="s">
        <v>424</v>
      </c>
    </row>
    <row r="52" spans="1:5">
      <c r="B52" s="87" t="s">
        <v>418</v>
      </c>
      <c r="C52" s="88"/>
      <c r="D52" t="s">
        <v>419</v>
      </c>
    </row>
    <row r="53" spans="1:5">
      <c r="B53" s="87"/>
      <c r="C53" s="88"/>
      <c r="D53" t="s">
        <v>420</v>
      </c>
    </row>
    <row r="54" spans="1:5">
      <c r="B54" s="12" t="s">
        <v>421</v>
      </c>
      <c r="C54" s="62"/>
      <c r="E54" t="s">
        <v>422</v>
      </c>
    </row>
    <row r="55" spans="1:5">
      <c r="B55"/>
      <c r="C55" s="3"/>
    </row>
    <row r="56" spans="1:5">
      <c r="A56" s="12" t="s">
        <v>236</v>
      </c>
      <c r="B56" s="12" t="s">
        <v>237</v>
      </c>
      <c r="C56" s="62"/>
      <c r="E56" t="s">
        <v>238</v>
      </c>
    </row>
    <row r="57" spans="1:5">
      <c r="C57" s="3"/>
      <c r="D57" s="15" t="s">
        <v>462</v>
      </c>
      <c r="E57" t="s">
        <v>699</v>
      </c>
    </row>
    <row r="58" spans="1:5">
      <c r="C58" s="62"/>
    </row>
    <row r="59" spans="1:5">
      <c r="A59" s="12" t="s">
        <v>65</v>
      </c>
      <c r="B59" s="12" t="s">
        <v>701</v>
      </c>
      <c r="C59" s="62" t="s">
        <v>702</v>
      </c>
      <c r="E59" t="s">
        <v>703</v>
      </c>
    </row>
    <row r="60" spans="1:5">
      <c r="B60" s="87" t="s">
        <v>336</v>
      </c>
      <c r="C60" s="62"/>
      <c r="D60" t="s">
        <v>350</v>
      </c>
      <c r="E60" t="s">
        <v>393</v>
      </c>
    </row>
    <row r="61" spans="1:5">
      <c r="B61" s="87"/>
      <c r="C61" s="62"/>
      <c r="D61" t="s">
        <v>339</v>
      </c>
    </row>
    <row r="62" spans="1:5">
      <c r="B62" s="87"/>
      <c r="C62" s="62"/>
      <c r="D62" t="s">
        <v>711</v>
      </c>
      <c r="E62" t="s">
        <v>365</v>
      </c>
    </row>
    <row r="63" spans="1:5">
      <c r="B63" s="87"/>
      <c r="C63" s="62"/>
      <c r="D63" t="s">
        <v>360</v>
      </c>
      <c r="E63" t="s">
        <v>392</v>
      </c>
    </row>
    <row r="64" spans="1:5">
      <c r="B64" s="87" t="s">
        <v>337</v>
      </c>
      <c r="C64" s="88" t="s">
        <v>395</v>
      </c>
      <c r="D64" t="s">
        <v>353</v>
      </c>
      <c r="E64" t="s">
        <v>341</v>
      </c>
    </row>
    <row r="65" spans="1:9" ht="28.5">
      <c r="B65" s="87"/>
      <c r="C65" s="88"/>
      <c r="D65" t="s">
        <v>340</v>
      </c>
      <c r="E65" s="13" t="s">
        <v>404</v>
      </c>
    </row>
    <row r="66" spans="1:9">
      <c r="B66" s="87"/>
      <c r="C66" s="88"/>
      <c r="D66" t="s">
        <v>364</v>
      </c>
      <c r="E66" t="s">
        <v>363</v>
      </c>
    </row>
    <row r="67" spans="1:9">
      <c r="B67" s="87" t="s">
        <v>463</v>
      </c>
      <c r="C67" s="62" t="s">
        <v>464</v>
      </c>
      <c r="D67" t="s">
        <v>691</v>
      </c>
      <c r="E67" t="s">
        <v>694</v>
      </c>
      <c r="F67" t="s">
        <v>695</v>
      </c>
      <c r="G67" t="s">
        <v>696</v>
      </c>
      <c r="H67" t="s">
        <v>603</v>
      </c>
      <c r="I67" t="s">
        <v>697</v>
      </c>
    </row>
    <row r="68" spans="1:9">
      <c r="B68" s="87"/>
      <c r="C68" s="62" t="s">
        <v>692</v>
      </c>
      <c r="D68" t="s">
        <v>693</v>
      </c>
      <c r="E68">
        <v>20210822</v>
      </c>
      <c r="F68" s="7">
        <v>44430</v>
      </c>
    </row>
    <row r="69" spans="1:9">
      <c r="B69" s="12" t="s">
        <v>75</v>
      </c>
      <c r="C69" s="62"/>
    </row>
    <row r="70" spans="1:9" ht="28.5">
      <c r="B70" s="12" t="s">
        <v>76</v>
      </c>
      <c r="C70" s="62"/>
      <c r="E70" s="13" t="s">
        <v>403</v>
      </c>
    </row>
    <row r="71" spans="1:9" ht="28.5">
      <c r="B71" s="12" t="s">
        <v>405</v>
      </c>
      <c r="C71" s="62"/>
      <c r="E71" s="13" t="s">
        <v>712</v>
      </c>
    </row>
    <row r="72" spans="1:9">
      <c r="A72" s="12" t="s">
        <v>195</v>
      </c>
      <c r="B72" s="12" t="s">
        <v>196</v>
      </c>
      <c r="C72" s="62" t="s">
        <v>543</v>
      </c>
      <c r="E72" t="s">
        <v>542</v>
      </c>
    </row>
    <row r="73" spans="1:9">
      <c r="B73" s="12" t="s">
        <v>197</v>
      </c>
      <c r="C73" s="62" t="s">
        <v>544</v>
      </c>
      <c r="D73" t="s">
        <v>546</v>
      </c>
    </row>
    <row r="74" spans="1:9">
      <c r="B74" s="12" t="s">
        <v>539</v>
      </c>
      <c r="C74" s="62" t="s">
        <v>545</v>
      </c>
      <c r="E74" t="s">
        <v>540</v>
      </c>
    </row>
    <row r="75" spans="1:9">
      <c r="A75" s="12" t="s">
        <v>66</v>
      </c>
      <c r="B75" s="87" t="s">
        <v>411</v>
      </c>
      <c r="C75" s="88" t="s">
        <v>416</v>
      </c>
      <c r="D75" t="s">
        <v>412</v>
      </c>
      <c r="E75" t="s">
        <v>415</v>
      </c>
    </row>
    <row r="76" spans="1:9">
      <c r="B76" s="87"/>
      <c r="C76" s="88"/>
      <c r="D76" t="s">
        <v>413</v>
      </c>
      <c r="E76" t="s">
        <v>414</v>
      </c>
    </row>
    <row r="77" spans="1:9">
      <c r="B77" s="87" t="s">
        <v>64</v>
      </c>
      <c r="C77" s="62" t="s">
        <v>429</v>
      </c>
      <c r="D77" t="s">
        <v>427</v>
      </c>
      <c r="E77" s="90" t="s">
        <v>426</v>
      </c>
    </row>
    <row r="78" spans="1:9">
      <c r="B78" s="87"/>
      <c r="C78" s="62" t="s">
        <v>430</v>
      </c>
      <c r="D78" t="s">
        <v>428</v>
      </c>
      <c r="E78" s="90"/>
    </row>
    <row r="79" spans="1:9">
      <c r="B79" s="87" t="s">
        <v>86</v>
      </c>
      <c r="C79" s="62"/>
      <c r="D79" t="s">
        <v>342</v>
      </c>
    </row>
    <row r="80" spans="1:9">
      <c r="B80" s="87"/>
      <c r="C80" s="62"/>
      <c r="D80" t="s">
        <v>343</v>
      </c>
    </row>
    <row r="81" spans="1:5">
      <c r="B81" s="87"/>
      <c r="C81" s="62"/>
      <c r="D81" t="s">
        <v>346</v>
      </c>
    </row>
    <row r="82" spans="1:5">
      <c r="B82" s="87"/>
      <c r="C82" s="62"/>
      <c r="D82" t="s">
        <v>347</v>
      </c>
    </row>
    <row r="83" spans="1:5">
      <c r="B83" s="87"/>
      <c r="C83" s="62"/>
      <c r="D83" t="s">
        <v>344</v>
      </c>
    </row>
    <row r="84" spans="1:5">
      <c r="B84" s="87"/>
      <c r="C84" s="62"/>
      <c r="D84" t="s">
        <v>345</v>
      </c>
    </row>
    <row r="85" spans="1:5">
      <c r="C85" s="62"/>
    </row>
    <row r="86" spans="1:5">
      <c r="B86" s="12" t="s">
        <v>74</v>
      </c>
      <c r="C86" s="62"/>
      <c r="E86" t="s">
        <v>348</v>
      </c>
    </row>
    <row r="87" spans="1:5">
      <c r="C87" s="62"/>
    </row>
    <row r="88" spans="1:5">
      <c r="A88" s="12" t="s">
        <v>362</v>
      </c>
      <c r="B88" s="87" t="s">
        <v>60</v>
      </c>
      <c r="C88" s="62"/>
      <c r="D88" t="s">
        <v>319</v>
      </c>
    </row>
    <row r="89" spans="1:5">
      <c r="B89" s="87"/>
      <c r="C89" s="62"/>
      <c r="D89" t="s">
        <v>235</v>
      </c>
    </row>
    <row r="90" spans="1:5">
      <c r="B90" s="87"/>
      <c r="C90" s="62"/>
      <c r="D90" t="s">
        <v>320</v>
      </c>
    </row>
    <row r="91" spans="1:5">
      <c r="B91" s="87"/>
      <c r="C91" s="62"/>
      <c r="D91" t="s">
        <v>321</v>
      </c>
    </row>
    <row r="92" spans="1:5">
      <c r="B92" s="87"/>
      <c r="C92" s="62"/>
      <c r="D92" t="s">
        <v>322</v>
      </c>
      <c r="E92" t="s">
        <v>402</v>
      </c>
    </row>
    <row r="93" spans="1:5">
      <c r="B93" s="87"/>
      <c r="C93" s="62"/>
      <c r="D93" t="s">
        <v>323</v>
      </c>
    </row>
    <row r="94" spans="1:5">
      <c r="B94" s="87"/>
      <c r="C94" s="62"/>
      <c r="D94" t="s">
        <v>324</v>
      </c>
    </row>
    <row r="95" spans="1:5">
      <c r="B95" s="87"/>
      <c r="C95" s="62"/>
      <c r="D95" t="s">
        <v>325</v>
      </c>
    </row>
    <row r="96" spans="1:5">
      <c r="B96" s="87"/>
      <c r="C96" s="62"/>
      <c r="D96" s="63" t="s">
        <v>689</v>
      </c>
      <c r="E96" t="s">
        <v>690</v>
      </c>
    </row>
    <row r="97" spans="2:6">
      <c r="B97" s="87" t="s">
        <v>62</v>
      </c>
      <c r="C97" s="62"/>
      <c r="D97" t="s">
        <v>69</v>
      </c>
    </row>
    <row r="98" spans="2:6">
      <c r="B98" s="87"/>
      <c r="C98" s="62"/>
      <c r="D98" t="s">
        <v>70</v>
      </c>
    </row>
    <row r="99" spans="2:6">
      <c r="B99" s="87"/>
      <c r="C99" s="62"/>
      <c r="D99" t="s">
        <v>318</v>
      </c>
    </row>
    <row r="101" spans="2:6">
      <c r="F101" s="13"/>
    </row>
    <row r="102" spans="2:6">
      <c r="F102" s="13"/>
    </row>
    <row r="103" spans="2:6">
      <c r="F103" s="13"/>
    </row>
    <row r="104" spans="2:6">
      <c r="F104" s="13"/>
    </row>
    <row r="105" spans="2:6">
      <c r="F105" s="13"/>
    </row>
    <row r="106" spans="2:6">
      <c r="F106" s="13"/>
    </row>
    <row r="107" spans="2:6">
      <c r="F107" s="13"/>
    </row>
    <row r="108" spans="2:6">
      <c r="F108" s="13"/>
    </row>
    <row r="109" spans="2:6">
      <c r="F109" s="13"/>
    </row>
  </sheetData>
  <mergeCells count="25">
    <mergeCell ref="E77:E78"/>
    <mergeCell ref="C75:C76"/>
    <mergeCell ref="B52:B53"/>
    <mergeCell ref="C52:C53"/>
    <mergeCell ref="B77:B78"/>
    <mergeCell ref="B67:B68"/>
    <mergeCell ref="F44:F48"/>
    <mergeCell ref="C44:C48"/>
    <mergeCell ref="B12:B17"/>
    <mergeCell ref="C12:C17"/>
    <mergeCell ref="C64:C66"/>
    <mergeCell ref="F27:F38"/>
    <mergeCell ref="B39:B41"/>
    <mergeCell ref="C39:C41"/>
    <mergeCell ref="D39:D41"/>
    <mergeCell ref="B97:B99"/>
    <mergeCell ref="B27:B38"/>
    <mergeCell ref="B44:B48"/>
    <mergeCell ref="B75:B76"/>
    <mergeCell ref="B79:B84"/>
    <mergeCell ref="B6:B8"/>
    <mergeCell ref="B60:B63"/>
    <mergeCell ref="B64:B66"/>
    <mergeCell ref="B9:B10"/>
    <mergeCell ref="B88:B96"/>
  </mergeCells>
  <phoneticPr fontId="1" type="noConversion"/>
  <printOptions horizontalCentered="1" verticalCentered="1" gridLines="1"/>
  <pageMargins left="0.51181102362204722" right="0.51181102362204722" top="0.74803149606299213" bottom="0.74803149606299213" header="0.31496062992125984" footer="0.31496062992125984"/>
  <pageSetup paperSize="9" scale="8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0F7B5-3D24-4FC1-AC9E-70EAB132233D}">
  <dimension ref="A1"/>
  <sheetViews>
    <sheetView zoomScaleNormal="100" workbookViewId="0">
      <selection activeCell="A3" sqref="A3"/>
    </sheetView>
  </sheetViews>
  <sheetFormatPr defaultColWidth="9.75" defaultRowHeight="14.25"/>
  <cols>
    <col min="1" max="16384" width="9.75" style="16"/>
  </cols>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337B-5CFB-40FE-9F39-D94B04860970}">
  <dimension ref="A1:G25"/>
  <sheetViews>
    <sheetView tabSelected="1" workbookViewId="0">
      <selection activeCell="H16" sqref="H16"/>
    </sheetView>
  </sheetViews>
  <sheetFormatPr defaultRowHeight="14.25"/>
  <cols>
    <col min="1" max="1" width="30.75" customWidth="1"/>
    <col min="2" max="2" width="24.75" customWidth="1"/>
    <col min="3" max="3" width="15.875" bestFit="1" customWidth="1"/>
  </cols>
  <sheetData>
    <row r="1" spans="1:7">
      <c r="A1" t="s">
        <v>526</v>
      </c>
      <c r="B1" t="s">
        <v>479</v>
      </c>
      <c r="C1" t="s">
        <v>241</v>
      </c>
      <c r="D1" t="s">
        <v>831</v>
      </c>
      <c r="E1" t="s">
        <v>246</v>
      </c>
      <c r="F1" t="s">
        <v>486</v>
      </c>
      <c r="G1" t="s">
        <v>487</v>
      </c>
    </row>
    <row r="2" spans="1:7">
      <c r="A2">
        <v>1</v>
      </c>
      <c r="B2" t="s">
        <v>830</v>
      </c>
      <c r="C2" t="s">
        <v>833</v>
      </c>
      <c r="D2">
        <v>123.456</v>
      </c>
      <c r="E2" s="108">
        <v>123.456</v>
      </c>
      <c r="F2" s="110"/>
      <c r="G2" s="108"/>
    </row>
    <row r="3" spans="1:7">
      <c r="A3">
        <v>2</v>
      </c>
      <c r="B3" t="s">
        <v>832</v>
      </c>
      <c r="C3" t="s">
        <v>834</v>
      </c>
      <c r="D3">
        <v>1</v>
      </c>
      <c r="E3" s="109">
        <v>9</v>
      </c>
      <c r="F3" s="111">
        <v>11</v>
      </c>
    </row>
    <row r="4" spans="1:7">
      <c r="E4" s="108"/>
      <c r="F4" s="110"/>
    </row>
    <row r="5" spans="1:7">
      <c r="E5" s="108"/>
      <c r="F5" s="110"/>
    </row>
    <row r="6" spans="1:7">
      <c r="E6" s="108"/>
      <c r="F6" s="110"/>
    </row>
    <row r="7" spans="1:7">
      <c r="A7" s="20" t="s">
        <v>472</v>
      </c>
      <c r="F7" t="s">
        <v>133</v>
      </c>
      <c r="G7" t="s">
        <v>488</v>
      </c>
    </row>
    <row r="8" spans="1:7">
      <c r="A8" s="19" t="s">
        <v>472</v>
      </c>
      <c r="F8" t="s">
        <v>136</v>
      </c>
    </row>
    <row r="9" spans="1:7">
      <c r="A9" s="21" t="s">
        <v>471</v>
      </c>
      <c r="F9">
        <v>0</v>
      </c>
      <c r="G9" t="s">
        <v>373</v>
      </c>
    </row>
    <row r="10" spans="1:7">
      <c r="A10" s="22">
        <v>890544</v>
      </c>
      <c r="B10" t="s">
        <v>473</v>
      </c>
    </row>
    <row r="11" spans="1:7">
      <c r="A11" s="23">
        <v>13707735481</v>
      </c>
      <c r="C11" t="s">
        <v>480</v>
      </c>
    </row>
    <row r="12" spans="1:7">
      <c r="A12" s="24">
        <v>13707735481</v>
      </c>
      <c r="C12" t="s">
        <v>480</v>
      </c>
    </row>
    <row r="13" spans="1:7">
      <c r="A13" s="6" t="s">
        <v>146</v>
      </c>
      <c r="B13" t="s">
        <v>474</v>
      </c>
      <c r="C13" t="s">
        <v>481</v>
      </c>
    </row>
    <row r="14" spans="1:7">
      <c r="A14" s="5" t="s">
        <v>476</v>
      </c>
      <c r="B14" t="s">
        <v>475</v>
      </c>
      <c r="C14" t="s">
        <v>485</v>
      </c>
    </row>
    <row r="15" spans="1:7">
      <c r="A15" s="26">
        <v>123</v>
      </c>
      <c r="B15" t="s">
        <v>483</v>
      </c>
      <c r="C15" t="s">
        <v>484</v>
      </c>
    </row>
    <row r="16" spans="1:7">
      <c r="A16" s="25">
        <v>80</v>
      </c>
      <c r="B16" t="s">
        <v>482</v>
      </c>
      <c r="C16" t="s">
        <v>140</v>
      </c>
    </row>
    <row r="17" spans="1:4">
      <c r="A17" s="4" t="s">
        <v>478</v>
      </c>
      <c r="B17" t="s">
        <v>477</v>
      </c>
      <c r="C17" t="s">
        <v>138</v>
      </c>
    </row>
    <row r="20" spans="1:4">
      <c r="A20" s="27">
        <v>0.35069444444444442</v>
      </c>
    </row>
    <row r="21" spans="1:4">
      <c r="A21" s="27">
        <v>0.85069444444444453</v>
      </c>
    </row>
    <row r="22" spans="1:4">
      <c r="A22" s="67">
        <v>0.25</v>
      </c>
      <c r="C22" t="s">
        <v>731</v>
      </c>
      <c r="D22" s="67"/>
    </row>
    <row r="23" spans="1:4">
      <c r="A23" s="67">
        <v>4.25</v>
      </c>
    </row>
    <row r="24" spans="1:4">
      <c r="A24" s="67">
        <v>1.75</v>
      </c>
    </row>
    <row r="25" spans="1:4">
      <c r="A25" s="68">
        <v>1.75</v>
      </c>
      <c r="C25" t="s">
        <v>732</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A57CF-38A1-4B1D-BD73-2D2187CEE4E5}">
  <dimension ref="A1:H71"/>
  <sheetViews>
    <sheetView workbookViewId="0">
      <pane ySplit="1" topLeftCell="A2" activePane="bottomLeft" state="frozen"/>
      <selection activeCell="G22" sqref="G22"/>
      <selection pane="bottomLeft" activeCell="D60" sqref="D60"/>
    </sheetView>
  </sheetViews>
  <sheetFormatPr defaultRowHeight="14.25"/>
  <cols>
    <col min="1" max="1" width="15.125" bestFit="1" customWidth="1"/>
    <col min="2" max="2" width="53.625" bestFit="1" customWidth="1"/>
    <col min="3" max="3" width="45.5" bestFit="1" customWidth="1"/>
    <col min="4" max="4" width="31.875" bestFit="1" customWidth="1"/>
    <col min="5" max="5" width="20.5" bestFit="1" customWidth="1"/>
    <col min="6" max="6" width="26.625" bestFit="1" customWidth="1"/>
    <col min="7" max="7" width="24.75" bestFit="1" customWidth="1"/>
    <col min="8" max="8" width="5.5" bestFit="1" customWidth="1"/>
  </cols>
  <sheetData>
    <row r="1" spans="1:7" ht="19.899999999999999" customHeight="1">
      <c r="A1" s="10" t="s">
        <v>240</v>
      </c>
      <c r="B1" s="10" t="s">
        <v>241</v>
      </c>
      <c r="C1" s="10" t="s">
        <v>242</v>
      </c>
      <c r="D1" s="10" t="s">
        <v>65</v>
      </c>
      <c r="E1" s="10" t="s">
        <v>685</v>
      </c>
      <c r="F1" s="10" t="s">
        <v>246</v>
      </c>
      <c r="G1" s="10" t="s">
        <v>241</v>
      </c>
    </row>
    <row r="2" spans="1:7">
      <c r="A2" t="s">
        <v>251</v>
      </c>
      <c r="B2" t="s">
        <v>243</v>
      </c>
      <c r="C2" s="2" t="s">
        <v>244</v>
      </c>
      <c r="D2">
        <v>-5</v>
      </c>
      <c r="F2">
        <f>ABS(D2)</f>
        <v>5</v>
      </c>
    </row>
    <row r="3" spans="1:7">
      <c r="A3" t="s">
        <v>264</v>
      </c>
      <c r="B3" t="s">
        <v>102</v>
      </c>
      <c r="C3" s="2" t="s">
        <v>89</v>
      </c>
      <c r="D3" s="2" t="s">
        <v>90</v>
      </c>
      <c r="E3" s="2"/>
      <c r="F3" s="2" t="s">
        <v>109</v>
      </c>
    </row>
    <row r="4" spans="1:7">
      <c r="A4" t="s">
        <v>290</v>
      </c>
      <c r="B4" t="s">
        <v>292</v>
      </c>
      <c r="C4" s="2" t="s">
        <v>294</v>
      </c>
      <c r="D4" t="s">
        <v>293</v>
      </c>
      <c r="F4">
        <f>COLUMN(D4)</f>
        <v>4</v>
      </c>
    </row>
    <row r="5" spans="1:7">
      <c r="A5" t="s">
        <v>296</v>
      </c>
      <c r="B5" t="s">
        <v>297</v>
      </c>
      <c r="C5" s="2" t="s">
        <v>300</v>
      </c>
      <c r="D5" t="s">
        <v>298</v>
      </c>
      <c r="F5" t="str">
        <f>"共"&amp;COLUMNS(A5:D5)&amp;"列"</f>
        <v>共4列</v>
      </c>
    </row>
    <row r="6" spans="1:7">
      <c r="A6" t="s">
        <v>272</v>
      </c>
      <c r="B6" t="s">
        <v>273</v>
      </c>
      <c r="C6" t="s">
        <v>286</v>
      </c>
      <c r="D6" t="s">
        <v>287</v>
      </c>
      <c r="F6" t="str">
        <f>CONCATENATE(C6,D6)</f>
        <v>社会主义核心价值观</v>
      </c>
    </row>
    <row r="7" spans="1:7">
      <c r="A7" t="s">
        <v>252</v>
      </c>
      <c r="B7" t="s">
        <v>98</v>
      </c>
      <c r="C7" s="2" t="s">
        <v>96</v>
      </c>
      <c r="D7" s="2" t="s">
        <v>97</v>
      </c>
      <c r="E7" s="2"/>
      <c r="F7" s="2" t="s">
        <v>114</v>
      </c>
    </row>
    <row r="8" spans="1:7">
      <c r="A8" t="s">
        <v>253</v>
      </c>
      <c r="B8" t="s">
        <v>99</v>
      </c>
      <c r="C8" s="2" t="s">
        <v>116</v>
      </c>
      <c r="D8" s="2" t="s">
        <v>115</v>
      </c>
      <c r="E8" s="2"/>
      <c r="F8" s="2" t="s">
        <v>113</v>
      </c>
    </row>
    <row r="9" spans="1:7">
      <c r="A9" t="s">
        <v>254</v>
      </c>
      <c r="B9" t="s">
        <v>100</v>
      </c>
      <c r="C9" s="2" t="s">
        <v>118</v>
      </c>
      <c r="F9" s="2" t="s">
        <v>117</v>
      </c>
    </row>
    <row r="10" spans="1:7">
      <c r="A10" t="s">
        <v>453</v>
      </c>
      <c r="B10" t="s">
        <v>456</v>
      </c>
      <c r="C10" s="2" t="s">
        <v>454</v>
      </c>
      <c r="D10" t="s">
        <v>455</v>
      </c>
      <c r="F10" s="2"/>
    </row>
    <row r="11" spans="1:7">
      <c r="C11" s="2"/>
      <c r="F11" s="2"/>
    </row>
    <row r="12" spans="1:7">
      <c r="A12" t="s">
        <v>255</v>
      </c>
      <c r="B12" t="s">
        <v>105</v>
      </c>
      <c r="C12" s="2" t="s">
        <v>95</v>
      </c>
      <c r="F12" s="2" t="s">
        <v>112</v>
      </c>
    </row>
    <row r="13" spans="1:7">
      <c r="A13" t="s">
        <v>437</v>
      </c>
      <c r="B13" t="s">
        <v>438</v>
      </c>
      <c r="C13" s="2" t="s">
        <v>439</v>
      </c>
      <c r="F13" s="2"/>
    </row>
    <row r="14" spans="1:7">
      <c r="A14" t="s">
        <v>309</v>
      </c>
      <c r="B14" t="s">
        <v>310</v>
      </c>
    </row>
    <row r="15" spans="1:7">
      <c r="A15" t="s">
        <v>250</v>
      </c>
      <c r="B15" t="s">
        <v>249</v>
      </c>
      <c r="D15">
        <v>123.62</v>
      </c>
      <c r="F15">
        <f>INT(D15)</f>
        <v>123</v>
      </c>
    </row>
    <row r="16" spans="1:7">
      <c r="A16" t="s">
        <v>305</v>
      </c>
      <c r="B16" t="s">
        <v>306</v>
      </c>
      <c r="D16">
        <v>2</v>
      </c>
      <c r="F16" t="b">
        <f>ISBLANK(D16)</f>
        <v>0</v>
      </c>
    </row>
    <row r="17" spans="1:7">
      <c r="A17" t="s">
        <v>307</v>
      </c>
      <c r="B17" t="s">
        <v>308</v>
      </c>
      <c r="D17" s="11" t="str">
        <f>"10/2错误："&amp;ISERROR(10/2)</f>
        <v>10/2错误：FALSE</v>
      </c>
      <c r="E17" s="11"/>
      <c r="F17" t="str">
        <f>"10/0错误："&amp;ISERROR(10/0)</f>
        <v>10/0错误：TRUE</v>
      </c>
    </row>
    <row r="18" spans="1:7">
      <c r="A18" t="s">
        <v>304</v>
      </c>
      <c r="B18" t="s">
        <v>303</v>
      </c>
      <c r="C18" t="s">
        <v>704</v>
      </c>
      <c r="D18">
        <v>2</v>
      </c>
      <c r="F18" t="b">
        <f>ISEVEN(D18)</f>
        <v>1</v>
      </c>
    </row>
    <row r="19" spans="1:7">
      <c r="A19" t="s">
        <v>301</v>
      </c>
      <c r="B19" t="s">
        <v>302</v>
      </c>
      <c r="C19" t="s">
        <v>704</v>
      </c>
      <c r="D19">
        <v>2</v>
      </c>
      <c r="F19" t="b">
        <f>ISODD(D19)</f>
        <v>0</v>
      </c>
    </row>
    <row r="20" spans="1:7">
      <c r="A20" t="s">
        <v>431</v>
      </c>
      <c r="B20" t="s">
        <v>435</v>
      </c>
      <c r="C20" s="2" t="s">
        <v>433</v>
      </c>
    </row>
    <row r="21" spans="1:7">
      <c r="A21" t="s">
        <v>256</v>
      </c>
      <c r="B21" t="s">
        <v>103</v>
      </c>
      <c r="C21" s="2" t="s">
        <v>91</v>
      </c>
      <c r="D21" s="2" t="s">
        <v>93</v>
      </c>
      <c r="E21" s="2"/>
      <c r="F21" s="2" t="s">
        <v>110</v>
      </c>
    </row>
    <row r="22" spans="1:7">
      <c r="C22" s="2"/>
      <c r="D22" s="2"/>
      <c r="E22" s="2"/>
      <c r="F22" s="2"/>
    </row>
    <row r="23" spans="1:7">
      <c r="A23" t="s">
        <v>494</v>
      </c>
      <c r="B23" t="s">
        <v>512</v>
      </c>
      <c r="C23" s="2" t="s">
        <v>496</v>
      </c>
      <c r="D23" s="2" t="s">
        <v>495</v>
      </c>
      <c r="E23" s="2"/>
      <c r="F23" s="2">
        <f>FIND("o",D23)</f>
        <v>5</v>
      </c>
      <c r="G23">
        <f>FIND("o",D23,6)</f>
        <v>7</v>
      </c>
    </row>
    <row r="24" spans="1:7">
      <c r="A24" t="s">
        <v>277</v>
      </c>
      <c r="B24" t="s">
        <v>513</v>
      </c>
      <c r="C24" s="2" t="s">
        <v>279</v>
      </c>
      <c r="D24" t="s">
        <v>275</v>
      </c>
      <c r="F24" t="str">
        <f>LEFT(D24,4)</f>
        <v>社会主义</v>
      </c>
    </row>
    <row r="25" spans="1:7">
      <c r="A25" t="s">
        <v>278</v>
      </c>
      <c r="B25" t="s">
        <v>514</v>
      </c>
      <c r="C25" s="2" t="s">
        <v>280</v>
      </c>
      <c r="D25" t="s">
        <v>275</v>
      </c>
      <c r="F25" t="str">
        <f>RIGHT(D25,3)</f>
        <v>价值观</v>
      </c>
    </row>
    <row r="26" spans="1:7">
      <c r="A26" t="s">
        <v>282</v>
      </c>
      <c r="B26" t="s">
        <v>285</v>
      </c>
      <c r="C26" s="2" t="s">
        <v>288</v>
      </c>
      <c r="D26" t="s">
        <v>275</v>
      </c>
      <c r="F26" t="str">
        <f>"长度"&amp;LEN(D26)</f>
        <v>长度9</v>
      </c>
    </row>
    <row r="27" spans="1:7">
      <c r="A27" t="s">
        <v>274</v>
      </c>
      <c r="B27" t="s">
        <v>587</v>
      </c>
      <c r="C27" s="2" t="s">
        <v>276</v>
      </c>
      <c r="D27" t="s">
        <v>275</v>
      </c>
      <c r="F27" t="str">
        <f>MID(D27,5,2)</f>
        <v>核心</v>
      </c>
      <c r="G27" s="2"/>
    </row>
    <row r="28" spans="1:7">
      <c r="C28" s="2"/>
      <c r="D28" s="2" t="s">
        <v>686</v>
      </c>
      <c r="E28" s="2" t="s">
        <v>687</v>
      </c>
      <c r="F28" t="str">
        <f>--MID(D28,7,2)&amp;"班"</f>
        <v>1班</v>
      </c>
      <c r="G28" s="2" t="s">
        <v>688</v>
      </c>
    </row>
    <row r="29" spans="1:7">
      <c r="C29" s="2"/>
    </row>
    <row r="30" spans="1:7">
      <c r="A30" t="s">
        <v>257</v>
      </c>
      <c r="B30" t="s">
        <v>104</v>
      </c>
      <c r="C30" s="2" t="s">
        <v>92</v>
      </c>
      <c r="D30" s="2" t="s">
        <v>94</v>
      </c>
      <c r="E30" s="2"/>
      <c r="F30" s="2" t="s">
        <v>111</v>
      </c>
    </row>
    <row r="31" spans="1:7">
      <c r="A31" t="s">
        <v>311</v>
      </c>
      <c r="B31" t="s">
        <v>312</v>
      </c>
      <c r="D31" t="s">
        <v>313</v>
      </c>
      <c r="F31">
        <f>MOD(10,3)</f>
        <v>1</v>
      </c>
    </row>
    <row r="32" spans="1:7">
      <c r="A32" t="s">
        <v>258</v>
      </c>
      <c r="B32" t="s">
        <v>489</v>
      </c>
    </row>
    <row r="33" spans="1:6">
      <c r="A33" t="s">
        <v>490</v>
      </c>
      <c r="B33" t="s">
        <v>491</v>
      </c>
      <c r="C33" s="2" t="s">
        <v>492</v>
      </c>
      <c r="D33" t="s">
        <v>245</v>
      </c>
      <c r="F33" s="2" t="s">
        <v>493</v>
      </c>
    </row>
    <row r="34" spans="1:6">
      <c r="A34" t="s">
        <v>259</v>
      </c>
      <c r="B34" t="s">
        <v>121</v>
      </c>
      <c r="C34" s="2" t="s">
        <v>122</v>
      </c>
      <c r="D34" s="9" t="s">
        <v>119</v>
      </c>
      <c r="E34" s="9"/>
      <c r="F34" s="9" t="str">
        <f>REPT(D34,5)</f>
        <v>«««««</v>
      </c>
    </row>
    <row r="35" spans="1:6">
      <c r="A35" t="s">
        <v>260</v>
      </c>
      <c r="B35" t="s">
        <v>247</v>
      </c>
      <c r="C35" s="2" t="s">
        <v>248</v>
      </c>
      <c r="D35">
        <v>12.356</v>
      </c>
      <c r="F35">
        <f>ROUND(D35,2)</f>
        <v>12.36</v>
      </c>
    </row>
    <row r="36" spans="1:6">
      <c r="A36" t="s">
        <v>291</v>
      </c>
      <c r="B36" t="s">
        <v>295</v>
      </c>
      <c r="C36" s="2" t="s">
        <v>299</v>
      </c>
      <c r="D36" t="s">
        <v>293</v>
      </c>
      <c r="F36">
        <f>ROW(D36)</f>
        <v>36</v>
      </c>
    </row>
    <row r="37" spans="1:6">
      <c r="A37" t="s">
        <v>432</v>
      </c>
      <c r="B37" t="s">
        <v>436</v>
      </c>
      <c r="C37" s="2" t="s">
        <v>434</v>
      </c>
    </row>
    <row r="38" spans="1:6">
      <c r="A38" t="s">
        <v>265</v>
      </c>
      <c r="B38" t="s">
        <v>101</v>
      </c>
      <c r="C38" s="2" t="s">
        <v>88</v>
      </c>
      <c r="D38" s="2" t="s">
        <v>87</v>
      </c>
      <c r="E38" s="2"/>
      <c r="F38" s="2" t="s">
        <v>108</v>
      </c>
    </row>
    <row r="39" spans="1:6">
      <c r="A39" t="s">
        <v>261</v>
      </c>
      <c r="B39" t="s">
        <v>266</v>
      </c>
      <c r="C39" s="2" t="s">
        <v>106</v>
      </c>
      <c r="F39" s="2" t="s">
        <v>107</v>
      </c>
    </row>
    <row r="40" spans="1:6">
      <c r="A40" t="s">
        <v>585</v>
      </c>
      <c r="B40" t="s">
        <v>586</v>
      </c>
      <c r="C40" s="2"/>
      <c r="F40" s="2"/>
    </row>
    <row r="41" spans="1:6">
      <c r="A41" t="s">
        <v>281</v>
      </c>
      <c r="B41" t="s">
        <v>284</v>
      </c>
      <c r="C41" s="2" t="s">
        <v>289</v>
      </c>
      <c r="D41" t="s">
        <v>283</v>
      </c>
      <c r="F41" t="str">
        <f>"trim前"&amp;LEN(D41)</f>
        <v>trim前13</v>
      </c>
    </row>
    <row r="42" spans="1:6">
      <c r="A42" t="s">
        <v>263</v>
      </c>
      <c r="B42" t="s">
        <v>314</v>
      </c>
      <c r="C42" t="s">
        <v>315</v>
      </c>
      <c r="D42">
        <v>123.62</v>
      </c>
      <c r="F42">
        <f>TRUNC(D42,2)</f>
        <v>123.62</v>
      </c>
    </row>
    <row r="44" spans="1:6">
      <c r="A44" t="s">
        <v>518</v>
      </c>
      <c r="B44" t="s">
        <v>522</v>
      </c>
      <c r="C44" s="2" t="s">
        <v>520</v>
      </c>
      <c r="D44" s="33" t="s">
        <v>584</v>
      </c>
      <c r="E44" s="33"/>
    </row>
    <row r="45" spans="1:6">
      <c r="A45" t="s">
        <v>519</v>
      </c>
      <c r="B45" t="s">
        <v>521</v>
      </c>
      <c r="C45" s="2" t="s">
        <v>523</v>
      </c>
      <c r="D45" t="s">
        <v>524</v>
      </c>
    </row>
    <row r="46" spans="1:6">
      <c r="A46" t="s">
        <v>262</v>
      </c>
      <c r="B46" t="s">
        <v>515</v>
      </c>
      <c r="C46" s="2" t="s">
        <v>120</v>
      </c>
      <c r="D46" s="33" t="s">
        <v>584</v>
      </c>
      <c r="E46" s="33"/>
    </row>
    <row r="47" spans="1:6">
      <c r="A47" t="s">
        <v>516</v>
      </c>
      <c r="B47" t="s">
        <v>517</v>
      </c>
      <c r="C47" s="2"/>
    </row>
    <row r="48" spans="1:6">
      <c r="C48" s="2"/>
    </row>
    <row r="49" spans="1:8">
      <c r="A49" t="s">
        <v>268</v>
      </c>
      <c r="B49" t="s">
        <v>271</v>
      </c>
      <c r="F49" s="7">
        <f ca="1">TODAY()</f>
        <v>46074</v>
      </c>
    </row>
    <row r="50" spans="1:8">
      <c r="A50" t="s">
        <v>269</v>
      </c>
      <c r="B50" t="s">
        <v>270</v>
      </c>
      <c r="F50" s="11">
        <f ca="1">NOW()</f>
        <v>46074.854979745367</v>
      </c>
    </row>
    <row r="51" spans="1:8">
      <c r="A51" t="s">
        <v>267</v>
      </c>
      <c r="B51" t="s">
        <v>461</v>
      </c>
      <c r="D51" s="7">
        <v>44393</v>
      </c>
      <c r="E51" s="7"/>
      <c r="F51">
        <f>YEAR(D51)</f>
        <v>2021</v>
      </c>
      <c r="G51" t="s">
        <v>829</v>
      </c>
      <c r="H51">
        <f ca="1">YEAR(NOW())</f>
        <v>2026</v>
      </c>
    </row>
    <row r="52" spans="1:8">
      <c r="A52" t="s">
        <v>457</v>
      </c>
      <c r="B52" t="s">
        <v>458</v>
      </c>
      <c r="D52" s="7">
        <v>44395</v>
      </c>
      <c r="E52" s="7"/>
      <c r="F52">
        <f>MONTH(D52)</f>
        <v>7</v>
      </c>
    </row>
    <row r="53" spans="1:8">
      <c r="A53" t="s">
        <v>459</v>
      </c>
      <c r="B53" t="s">
        <v>460</v>
      </c>
      <c r="D53" s="7">
        <v>44395</v>
      </c>
      <c r="E53" s="7"/>
      <c r="F53">
        <f>DAY(D53)</f>
        <v>18</v>
      </c>
    </row>
    <row r="54" spans="1:8">
      <c r="A54" t="s">
        <v>582</v>
      </c>
      <c r="B54" t="s">
        <v>583</v>
      </c>
      <c r="C54" t="s">
        <v>700</v>
      </c>
      <c r="D54" s="7">
        <v>44396</v>
      </c>
      <c r="E54" s="7"/>
      <c r="F54">
        <f>WEEKDAY(D54,2)</f>
        <v>1</v>
      </c>
      <c r="G54">
        <f>WEEKDAY(D54,2)</f>
        <v>1</v>
      </c>
    </row>
    <row r="55" spans="1:8">
      <c r="A55" t="s">
        <v>554</v>
      </c>
      <c r="B55" t="s">
        <v>556</v>
      </c>
      <c r="F55">
        <f ca="1">RAND()</f>
        <v>0.69542933347114644</v>
      </c>
    </row>
    <row r="56" spans="1:8">
      <c r="A56" t="s">
        <v>547</v>
      </c>
      <c r="B56" t="s">
        <v>555</v>
      </c>
      <c r="C56" s="2" t="s">
        <v>553</v>
      </c>
      <c r="D56" t="s">
        <v>549</v>
      </c>
      <c r="F56">
        <f ca="1">RANDBETWEEN(1,10)</f>
        <v>9</v>
      </c>
    </row>
    <row r="57" spans="1:8">
      <c r="A57" t="s">
        <v>548</v>
      </c>
      <c r="B57" t="s">
        <v>551</v>
      </c>
      <c r="C57" s="2" t="s">
        <v>552</v>
      </c>
      <c r="D57" t="s">
        <v>550</v>
      </c>
      <c r="F57" t="str">
        <f ca="1">CHOOSE(RANDBETWEEN(1,3),"A卷","B卷","C卷")</f>
        <v>C卷</v>
      </c>
    </row>
    <row r="59" spans="1:8">
      <c r="A59" t="s">
        <v>706</v>
      </c>
      <c r="B59" t="s">
        <v>707</v>
      </c>
      <c r="C59">
        <v>20210829</v>
      </c>
      <c r="D59" t="str">
        <f>TEXT(C59,"0000年00月00日")</f>
        <v>2021年08月29日</v>
      </c>
    </row>
    <row r="60" spans="1:8">
      <c r="B60" s="88" t="s">
        <v>708</v>
      </c>
      <c r="C60">
        <v>1</v>
      </c>
      <c r="D60" t="str">
        <f>TEXT(C60,"[DBNum1][$-zh-CN]G/通用格式")</f>
        <v>一</v>
      </c>
    </row>
    <row r="61" spans="1:8">
      <c r="B61" s="90"/>
      <c r="C61">
        <v>2</v>
      </c>
      <c r="D61" t="str">
        <f>TEXT(C61,"[DBNum2][$-zh-CN]G/通用格式")</f>
        <v>贰</v>
      </c>
    </row>
    <row r="62" spans="1:8">
      <c r="C62">
        <v>3</v>
      </c>
      <c r="D62" t="str">
        <f t="shared" ref="D62:D69" si="0">TEXT(C62,"[DBNum2][$-zh-CN]G/通用格式")</f>
        <v>叁</v>
      </c>
    </row>
    <row r="63" spans="1:8">
      <c r="C63">
        <v>4</v>
      </c>
      <c r="D63" t="str">
        <f t="shared" si="0"/>
        <v>肆</v>
      </c>
    </row>
    <row r="64" spans="1:8">
      <c r="C64">
        <v>5</v>
      </c>
      <c r="D64" t="str">
        <f t="shared" si="0"/>
        <v>伍</v>
      </c>
    </row>
    <row r="65" spans="1:4">
      <c r="C65">
        <v>6</v>
      </c>
      <c r="D65" t="str">
        <f t="shared" si="0"/>
        <v>陆</v>
      </c>
    </row>
    <row r="66" spans="1:4">
      <c r="C66">
        <v>7</v>
      </c>
      <c r="D66" t="str">
        <f t="shared" si="0"/>
        <v>柒</v>
      </c>
    </row>
    <row r="67" spans="1:4">
      <c r="C67">
        <v>8</v>
      </c>
      <c r="D67" t="str">
        <f t="shared" si="0"/>
        <v>捌</v>
      </c>
    </row>
    <row r="68" spans="1:4">
      <c r="C68">
        <v>9</v>
      </c>
      <c r="D68" t="str">
        <f t="shared" si="0"/>
        <v>玖</v>
      </c>
    </row>
    <row r="69" spans="1:4">
      <c r="C69">
        <v>0</v>
      </c>
      <c r="D69" t="str">
        <f t="shared" si="0"/>
        <v>零</v>
      </c>
    </row>
    <row r="71" spans="1:4">
      <c r="A71" t="s">
        <v>713</v>
      </c>
    </row>
  </sheetData>
  <sortState xmlns:xlrd2="http://schemas.microsoft.com/office/spreadsheetml/2017/richdata2" ref="A2:H71">
    <sortCondition ref="A2:A10"/>
  </sortState>
  <mergeCells count="1">
    <mergeCell ref="B60:B61"/>
  </mergeCells>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BE5F-097E-427E-811E-6E53081C4F69}">
  <dimension ref="A1"/>
  <sheetViews>
    <sheetView workbookViewId="0"/>
  </sheetViews>
  <sheetFormatPr defaultRowHeight="14.25"/>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82650-31E3-45EC-B2F3-97C6F4ECCC93}">
  <dimension ref="A1:Y21"/>
  <sheetViews>
    <sheetView topLeftCell="E1" workbookViewId="0">
      <selection activeCell="L13" sqref="L13"/>
    </sheetView>
  </sheetViews>
  <sheetFormatPr defaultRowHeight="14.25"/>
  <cols>
    <col min="5" max="7" width="8.875"/>
    <col min="8" max="10" width="12.75" bestFit="1" customWidth="1"/>
    <col min="11" max="11" width="1.75" customWidth="1"/>
    <col min="12" max="12" width="12.375" bestFit="1" customWidth="1"/>
    <col min="16" max="16" width="1.75" customWidth="1"/>
    <col min="18" max="18" width="8.875"/>
    <col min="19" max="19" width="12.25" bestFit="1" customWidth="1"/>
    <col min="21" max="21" width="12.25" bestFit="1" customWidth="1"/>
    <col min="22" max="22" width="1.75" customWidth="1"/>
  </cols>
  <sheetData>
    <row r="1" spans="1:25">
      <c r="A1" t="s">
        <v>468</v>
      </c>
      <c r="E1" s="90" t="s">
        <v>558</v>
      </c>
      <c r="F1" s="90"/>
      <c r="G1" s="90"/>
      <c r="H1" s="90"/>
      <c r="I1" s="90"/>
      <c r="J1" s="90"/>
      <c r="L1" t="s">
        <v>497</v>
      </c>
      <c r="Q1" t="s">
        <v>525</v>
      </c>
      <c r="W1" t="s">
        <v>577</v>
      </c>
    </row>
    <row r="2" spans="1:25">
      <c r="A2" t="s">
        <v>469</v>
      </c>
      <c r="B2" t="s">
        <v>470</v>
      </c>
      <c r="C2" t="s">
        <v>23</v>
      </c>
      <c r="D2" t="s">
        <v>452</v>
      </c>
      <c r="E2" s="90" t="s">
        <v>574</v>
      </c>
      <c r="F2" s="90"/>
      <c r="G2" s="90"/>
      <c r="H2" s="90"/>
      <c r="I2" s="90"/>
      <c r="J2" s="90"/>
      <c r="L2" t="s">
        <v>499</v>
      </c>
      <c r="M2" t="s">
        <v>500</v>
      </c>
      <c r="N2" t="s">
        <v>501</v>
      </c>
      <c r="O2" t="s">
        <v>502</v>
      </c>
      <c r="Q2" t="s">
        <v>526</v>
      </c>
      <c r="R2" t="s">
        <v>529</v>
      </c>
      <c r="S2" t="s">
        <v>527</v>
      </c>
      <c r="T2" t="s">
        <v>528</v>
      </c>
      <c r="U2" t="s">
        <v>535</v>
      </c>
      <c r="W2" t="s">
        <v>578</v>
      </c>
      <c r="X2" t="s">
        <v>579</v>
      </c>
      <c r="Y2" t="s">
        <v>580</v>
      </c>
    </row>
    <row r="3" spans="1:25">
      <c r="A3">
        <v>59</v>
      </c>
      <c r="B3">
        <v>45</v>
      </c>
      <c r="C3">
        <v>76.000000000000028</v>
      </c>
      <c r="D3">
        <f>AVERAGE(A3:C3)</f>
        <v>60.000000000000007</v>
      </c>
      <c r="E3" t="s">
        <v>559</v>
      </c>
      <c r="F3" t="s">
        <v>218</v>
      </c>
      <c r="G3" t="s">
        <v>560</v>
      </c>
      <c r="H3" t="s">
        <v>575</v>
      </c>
      <c r="I3" t="s">
        <v>576</v>
      </c>
      <c r="J3" t="s">
        <v>571</v>
      </c>
      <c r="L3" t="s">
        <v>498</v>
      </c>
      <c r="Q3">
        <v>1</v>
      </c>
      <c r="R3" t="s">
        <v>530</v>
      </c>
      <c r="S3" s="18">
        <v>1200</v>
      </c>
      <c r="T3">
        <v>10</v>
      </c>
      <c r="U3" s="18">
        <f>S3*T3</f>
        <v>12000</v>
      </c>
      <c r="X3" t="b">
        <v>1</v>
      </c>
      <c r="Y3">
        <f>IF(X3,1,0)</f>
        <v>1</v>
      </c>
    </row>
    <row r="4" spans="1:25">
      <c r="E4" t="s">
        <v>561</v>
      </c>
      <c r="F4" s="17" t="s">
        <v>440</v>
      </c>
      <c r="G4" t="str">
        <f ca="1">ROUNDUP(RANK(J4,$J$4:$J$15)/4,0)&amp;"组"</f>
        <v>3组</v>
      </c>
      <c r="H4" t="str">
        <f ca="1">INDEX(F4:F15,RANDBETWEEN(1,12))</f>
        <v>柳州</v>
      </c>
      <c r="I4" t="str">
        <f ca="1">INDEX($F$4:$F$15,RANK(J4,$J$4:$J$15))</f>
        <v>北京</v>
      </c>
      <c r="J4">
        <f ca="1">RAND()</f>
        <v>8.9812867278400876E-2</v>
      </c>
      <c r="L4" t="s">
        <v>503</v>
      </c>
      <c r="Q4">
        <v>2</v>
      </c>
      <c r="R4" t="s">
        <v>531</v>
      </c>
      <c r="S4" s="18">
        <v>8000</v>
      </c>
      <c r="T4">
        <v>30</v>
      </c>
      <c r="U4" s="18">
        <f t="shared" ref="U4:U7" si="0">S4*T4</f>
        <v>240000</v>
      </c>
      <c r="X4" t="b">
        <v>1</v>
      </c>
      <c r="Y4">
        <f t="shared" ref="Y4:Y5" si="1">IF(X4,1,0)</f>
        <v>1</v>
      </c>
    </row>
    <row r="5" spans="1:25">
      <c r="E5" t="s">
        <v>562</v>
      </c>
      <c r="F5" s="17" t="s">
        <v>441</v>
      </c>
      <c r="G5" t="str">
        <f t="shared" ref="G5:G15" ca="1" si="2">ROUNDUP(RANK(J5,$J$4:$J$15)/4,0)&amp;"组"</f>
        <v>3组</v>
      </c>
      <c r="I5" t="str">
        <f t="shared" ref="I5:I6" ca="1" si="3">INDEX($F$4:$F$15,RANK(J5,$J$4:$J$15))</f>
        <v>昆明</v>
      </c>
      <c r="J5">
        <f t="shared" ref="J5:J15" ca="1" si="4">RAND()</f>
        <v>2.0296478114453786E-2</v>
      </c>
      <c r="L5" t="s">
        <v>510</v>
      </c>
      <c r="Q5">
        <v>3</v>
      </c>
      <c r="R5" t="s">
        <v>532</v>
      </c>
      <c r="S5" s="18">
        <v>5000</v>
      </c>
      <c r="T5">
        <v>36</v>
      </c>
      <c r="U5" s="18">
        <f t="shared" si="0"/>
        <v>180000</v>
      </c>
      <c r="X5" t="b">
        <v>1</v>
      </c>
      <c r="Y5">
        <f t="shared" si="1"/>
        <v>1</v>
      </c>
    </row>
    <row r="6" spans="1:25">
      <c r="E6" t="s">
        <v>563</v>
      </c>
      <c r="F6" s="17" t="s">
        <v>442</v>
      </c>
      <c r="G6" t="str">
        <f t="shared" ca="1" si="2"/>
        <v>2组</v>
      </c>
      <c r="I6" t="str">
        <f t="shared" ca="1" si="3"/>
        <v>柳州</v>
      </c>
      <c r="J6">
        <f t="shared" ca="1" si="4"/>
        <v>0.51606371969439102</v>
      </c>
      <c r="L6" t="s">
        <v>504</v>
      </c>
      <c r="Q6">
        <v>4</v>
      </c>
      <c r="R6" t="s">
        <v>533</v>
      </c>
      <c r="S6" s="18">
        <v>4500</v>
      </c>
      <c r="T6">
        <v>20</v>
      </c>
      <c r="U6" s="18">
        <f t="shared" si="0"/>
        <v>90000</v>
      </c>
    </row>
    <row r="7" spans="1:25">
      <c r="E7" t="s">
        <v>564</v>
      </c>
      <c r="F7" s="17" t="s">
        <v>443</v>
      </c>
      <c r="G7" t="str">
        <f t="shared" ca="1" si="2"/>
        <v>3组</v>
      </c>
      <c r="J7">
        <f t="shared" ca="1" si="4"/>
        <v>6.0185054465698773E-2</v>
      </c>
      <c r="Q7">
        <v>5</v>
      </c>
      <c r="R7" t="s">
        <v>534</v>
      </c>
      <c r="S7" s="18">
        <v>2000</v>
      </c>
      <c r="T7">
        <v>16</v>
      </c>
      <c r="U7" s="18">
        <f t="shared" si="0"/>
        <v>32000</v>
      </c>
    </row>
    <row r="8" spans="1:25">
      <c r="E8" t="s">
        <v>565</v>
      </c>
      <c r="F8" s="17" t="s">
        <v>444</v>
      </c>
      <c r="G8" t="str">
        <f t="shared" ca="1" si="2"/>
        <v>1组</v>
      </c>
      <c r="J8">
        <f t="shared" ca="1" si="4"/>
        <v>0.74396025185548054</v>
      </c>
      <c r="L8" s="90" t="s">
        <v>557</v>
      </c>
      <c r="M8" s="90"/>
      <c r="N8" s="90"/>
      <c r="O8" s="90"/>
    </row>
    <row r="9" spans="1:25">
      <c r="E9" t="s">
        <v>566</v>
      </c>
      <c r="F9" s="17" t="s">
        <v>445</v>
      </c>
      <c r="G9" t="str">
        <f t="shared" ca="1" si="2"/>
        <v>1组</v>
      </c>
      <c r="J9">
        <f t="shared" ca="1" si="4"/>
        <v>0.96119255462244679</v>
      </c>
      <c r="L9" t="s">
        <v>499</v>
      </c>
      <c r="M9" t="s">
        <v>500</v>
      </c>
      <c r="N9" t="s">
        <v>501</v>
      </c>
      <c r="O9" t="s">
        <v>502</v>
      </c>
      <c r="Q9" s="90" t="s">
        <v>537</v>
      </c>
      <c r="R9" s="90"/>
      <c r="S9" s="90"/>
      <c r="T9" s="90"/>
      <c r="U9" s="90"/>
    </row>
    <row r="10" spans="1:25">
      <c r="E10" t="s">
        <v>567</v>
      </c>
      <c r="F10" s="17" t="s">
        <v>446</v>
      </c>
      <c r="G10" t="str">
        <f t="shared" ca="1" si="2"/>
        <v>2组</v>
      </c>
      <c r="J10">
        <f t="shared" ca="1" si="4"/>
        <v>0.63851119269378087</v>
      </c>
      <c r="L10" t="s">
        <v>498</v>
      </c>
      <c r="M10" t="s">
        <v>210</v>
      </c>
      <c r="N10">
        <v>23</v>
      </c>
      <c r="O10" t="s">
        <v>507</v>
      </c>
      <c r="Q10" s="90" t="s">
        <v>536</v>
      </c>
      <c r="R10" s="90"/>
      <c r="S10" s="90"/>
      <c r="T10" s="90"/>
      <c r="U10" s="90"/>
    </row>
    <row r="11" spans="1:25">
      <c r="E11" t="s">
        <v>568</v>
      </c>
      <c r="F11" s="17" t="s">
        <v>447</v>
      </c>
      <c r="G11" t="str">
        <f t="shared" ca="1" si="2"/>
        <v>1组</v>
      </c>
      <c r="J11">
        <f t="shared" ca="1" si="4"/>
        <v>0.79581028033648837</v>
      </c>
      <c r="L11" t="s">
        <v>503</v>
      </c>
      <c r="M11" t="s">
        <v>505</v>
      </c>
      <c r="N11">
        <v>18</v>
      </c>
      <c r="O11" t="s">
        <v>508</v>
      </c>
    </row>
    <row r="12" spans="1:25">
      <c r="E12" t="s">
        <v>569</v>
      </c>
      <c r="F12" s="17" t="s">
        <v>448</v>
      </c>
      <c r="G12" t="str">
        <f t="shared" ca="1" si="2"/>
        <v>3组</v>
      </c>
      <c r="J12">
        <f t="shared" ca="1" si="4"/>
        <v>0.25189052698627989</v>
      </c>
      <c r="L12" t="s">
        <v>510</v>
      </c>
      <c r="M12" t="s">
        <v>210</v>
      </c>
      <c r="N12">
        <v>20</v>
      </c>
      <c r="O12" t="s">
        <v>509</v>
      </c>
      <c r="Q12" t="s">
        <v>529</v>
      </c>
      <c r="R12" t="s">
        <v>528</v>
      </c>
      <c r="S12" t="s">
        <v>535</v>
      </c>
    </row>
    <row r="13" spans="1:25">
      <c r="E13" t="s">
        <v>570</v>
      </c>
      <c r="F13" s="17" t="s">
        <v>449</v>
      </c>
      <c r="G13" t="str">
        <f t="shared" ca="1" si="2"/>
        <v>2组</v>
      </c>
      <c r="J13">
        <f t="shared" ca="1" si="4"/>
        <v>0.47706699247657891</v>
      </c>
      <c r="L13" t="s">
        <v>504</v>
      </c>
      <c r="M13" t="s">
        <v>506</v>
      </c>
      <c r="N13">
        <v>19</v>
      </c>
      <c r="O13" t="s">
        <v>509</v>
      </c>
      <c r="Q13" s="28" t="s">
        <v>541</v>
      </c>
      <c r="R13" s="29">
        <f>INDEX(Q3:U7,MATCH(Q13,R3:R7,0),MATCH(T2,Q2:U2,0))</f>
        <v>36</v>
      </c>
      <c r="S13" s="30">
        <f>INDEX(Q3:U7,MATCH(Q13,R3:R7,0),MATCH(U2,Q2:U2,0))</f>
        <v>180000</v>
      </c>
    </row>
    <row r="14" spans="1:25">
      <c r="E14" t="s">
        <v>572</v>
      </c>
      <c r="F14" s="17" t="s">
        <v>450</v>
      </c>
      <c r="G14" t="str">
        <f t="shared" ca="1" si="2"/>
        <v>2组</v>
      </c>
      <c r="J14">
        <f t="shared" ca="1" si="4"/>
        <v>0.72219776343837994</v>
      </c>
    </row>
    <row r="15" spans="1:25">
      <c r="E15" t="s">
        <v>573</v>
      </c>
      <c r="F15" s="17" t="s">
        <v>451</v>
      </c>
      <c r="G15" t="str">
        <f t="shared" ca="1" si="2"/>
        <v>1组</v>
      </c>
      <c r="J15">
        <f t="shared" ca="1" si="4"/>
        <v>0.81727524428450604</v>
      </c>
      <c r="L15" s="90" t="s">
        <v>511</v>
      </c>
      <c r="M15" s="90"/>
      <c r="N15" s="90"/>
      <c r="O15" s="90"/>
    </row>
    <row r="16" spans="1:25">
      <c r="L16" s="90" t="s">
        <v>538</v>
      </c>
      <c r="M16" s="90"/>
      <c r="N16" s="90"/>
      <c r="O16" s="90"/>
    </row>
    <row r="17" spans="12:15">
      <c r="L17" t="s">
        <v>499</v>
      </c>
      <c r="M17" t="s">
        <v>500</v>
      </c>
      <c r="N17" t="s">
        <v>501</v>
      </c>
      <c r="O17" t="s">
        <v>502</v>
      </c>
    </row>
    <row r="18" spans="12:15">
      <c r="L18" t="s">
        <v>498</v>
      </c>
      <c r="M18" t="str">
        <f>LEFT(L18,FIND("-",L18)-1)</f>
        <v>gl</v>
      </c>
      <c r="N18" t="str">
        <f>MID(L18,FIND("-",L18)+1,2)</f>
        <v>23</v>
      </c>
      <c r="O18" t="str">
        <f>RIGHT(L18,LEN(L18)-FIND("-",L18,FIND("-",L18)+1))</f>
        <v>l</v>
      </c>
    </row>
    <row r="19" spans="12:15">
      <c r="L19" t="s">
        <v>503</v>
      </c>
      <c r="M19" t="str">
        <f t="shared" ref="M19:M21" si="5">LEFT(L19,FIND("-",L19)-1)</f>
        <v>hrb</v>
      </c>
      <c r="N19" t="str">
        <f t="shared" ref="N19:N21" si="6">MID(L19,FIND("-",L19)+1,2)</f>
        <v>18</v>
      </c>
      <c r="O19" t="str">
        <f t="shared" ref="O19:O21" si="7">RIGHT(L19,LEN(L19)-FIND("-",L19,FIND("-",L19)+1))</f>
        <v>xl</v>
      </c>
    </row>
    <row r="20" spans="12:15">
      <c r="L20" t="s">
        <v>510</v>
      </c>
      <c r="M20" t="str">
        <f t="shared" si="5"/>
        <v>g</v>
      </c>
      <c r="N20" t="str">
        <f t="shared" si="6"/>
        <v>20</v>
      </c>
      <c r="O20" t="str">
        <f t="shared" si="7"/>
        <v>m</v>
      </c>
    </row>
    <row r="21" spans="12:15">
      <c r="L21" t="s">
        <v>504</v>
      </c>
      <c r="M21" t="str">
        <f t="shared" si="5"/>
        <v>sz</v>
      </c>
      <c r="N21" t="str">
        <f t="shared" si="6"/>
        <v>19</v>
      </c>
      <c r="O21" t="str">
        <f t="shared" si="7"/>
        <v>xxl</v>
      </c>
    </row>
  </sheetData>
  <mergeCells count="7">
    <mergeCell ref="L15:O15"/>
    <mergeCell ref="L16:O16"/>
    <mergeCell ref="E2:J2"/>
    <mergeCell ref="E1:J1"/>
    <mergeCell ref="Q9:U9"/>
    <mergeCell ref="Q10:U10"/>
    <mergeCell ref="L8:O8"/>
  </mergeCells>
  <phoneticPr fontId="1" type="noConversion"/>
  <conditionalFormatting sqref="Y3:Y5">
    <cfRule type="iconSet" priority="1">
      <iconSet iconSet="3Symbols2" showValue="0">
        <cfvo type="percent" val="0"/>
        <cfvo type="num" val="0"/>
        <cfvo type="num" val="1"/>
      </iconSet>
    </cfRule>
  </conditionalFormatting>
  <dataValidations count="1">
    <dataValidation type="list" allowBlank="1" showInputMessage="1" showErrorMessage="1" sqref="Q13" xr:uid="{2EA925D6-8D10-47DF-92C8-08F53B4989E8}">
      <formula1>$R$3:$R$7</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292" r:id="rId4" name="Check Box 4">
              <controlPr defaultSize="0" autoFill="0" autoLine="0" autoPict="0">
                <anchor moveWithCells="1">
                  <from>
                    <xdr:col>22</xdr:col>
                    <xdr:colOff>85725</xdr:colOff>
                    <xdr:row>1</xdr:row>
                    <xdr:rowOff>123825</xdr:rowOff>
                  </from>
                  <to>
                    <xdr:col>22</xdr:col>
                    <xdr:colOff>295275</xdr:colOff>
                    <xdr:row>3</xdr:row>
                    <xdr:rowOff>28575</xdr:rowOff>
                  </to>
                </anchor>
              </controlPr>
            </control>
          </mc:Choice>
        </mc:AlternateContent>
        <mc:AlternateContent xmlns:mc="http://schemas.openxmlformats.org/markup-compatibility/2006">
          <mc:Choice Requires="x14">
            <control shapeId="12303" r:id="rId5" name="Check Box 15">
              <controlPr defaultSize="0" autoFill="0" autoLine="0" autoPict="0">
                <anchor moveWithCells="1">
                  <from>
                    <xdr:col>22</xdr:col>
                    <xdr:colOff>85725</xdr:colOff>
                    <xdr:row>2</xdr:row>
                    <xdr:rowOff>123825</xdr:rowOff>
                  </from>
                  <to>
                    <xdr:col>22</xdr:col>
                    <xdr:colOff>295275</xdr:colOff>
                    <xdr:row>4</xdr:row>
                    <xdr:rowOff>28575</xdr:rowOff>
                  </to>
                </anchor>
              </controlPr>
            </control>
          </mc:Choice>
        </mc:AlternateContent>
        <mc:AlternateContent xmlns:mc="http://schemas.openxmlformats.org/markup-compatibility/2006">
          <mc:Choice Requires="x14">
            <control shapeId="12304" r:id="rId6" name="Check Box 16">
              <controlPr defaultSize="0" autoFill="0" autoLine="0" autoPict="0">
                <anchor moveWithCells="1">
                  <from>
                    <xdr:col>22</xdr:col>
                    <xdr:colOff>85725</xdr:colOff>
                    <xdr:row>3</xdr:row>
                    <xdr:rowOff>123825</xdr:rowOff>
                  </from>
                  <to>
                    <xdr:col>22</xdr:col>
                    <xdr:colOff>295275</xdr:colOff>
                    <xdr:row>5</xdr:row>
                    <xdr:rowOff>28575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A1C3-37D0-408A-867F-0E86E8FBB33A}">
  <sheetPr>
    <tabColor rgb="FFFFC000"/>
  </sheetPr>
  <dimension ref="A1:F77"/>
  <sheetViews>
    <sheetView workbookViewId="0">
      <pane xSplit="1" ySplit="1" topLeftCell="B17" activePane="bottomRight" state="frozen"/>
      <selection activeCell="G22" sqref="G22"/>
      <selection pane="topRight" activeCell="G22" sqref="G22"/>
      <selection pane="bottomLeft" activeCell="G22" sqref="G22"/>
      <selection pane="bottomRight" activeCell="B71" sqref="B71"/>
    </sheetView>
  </sheetViews>
  <sheetFormatPr defaultRowHeight="15.75"/>
  <cols>
    <col min="1" max="1" width="20.75" style="69" customWidth="1"/>
    <col min="2" max="2" width="97.375" style="69" bestFit="1" customWidth="1"/>
    <col min="3" max="3" width="26.625" style="69" bestFit="1" customWidth="1"/>
    <col min="4" max="6" width="20.625" style="69" customWidth="1"/>
    <col min="7" max="16384" width="9" style="69"/>
  </cols>
  <sheetData>
    <row r="1" spans="1:5" ht="30" customHeight="1">
      <c r="A1" s="69" t="s">
        <v>734</v>
      </c>
      <c r="B1" s="84" t="s">
        <v>241</v>
      </c>
      <c r="C1" s="69" t="s">
        <v>735</v>
      </c>
    </row>
    <row r="2" spans="1:5" ht="20.100000000000001" customHeight="1">
      <c r="A2" s="70" t="s">
        <v>150</v>
      </c>
      <c r="B2" s="71"/>
    </row>
    <row r="3" spans="1:5">
      <c r="A3" s="69" t="s">
        <v>127</v>
      </c>
      <c r="B3" s="69" t="s">
        <v>736</v>
      </c>
    </row>
    <row r="4" spans="1:5">
      <c r="A4" s="69" t="s">
        <v>128</v>
      </c>
      <c r="B4" s="69" t="s">
        <v>737</v>
      </c>
    </row>
    <row r="5" spans="1:5">
      <c r="A5" s="69" t="s">
        <v>126</v>
      </c>
      <c r="B5" s="69" t="s">
        <v>738</v>
      </c>
    </row>
    <row r="6" spans="1:5">
      <c r="A6" s="69" t="s">
        <v>733</v>
      </c>
      <c r="B6" s="69" t="s">
        <v>739</v>
      </c>
      <c r="E6" s="72"/>
    </row>
    <row r="7" spans="1:5">
      <c r="A7" s="69" t="s">
        <v>740</v>
      </c>
      <c r="B7" s="69" t="s">
        <v>741</v>
      </c>
      <c r="C7" s="72">
        <v>44365</v>
      </c>
      <c r="D7" s="73">
        <v>0.43333333333333335</v>
      </c>
      <c r="E7" s="73"/>
    </row>
    <row r="8" spans="1:5">
      <c r="A8" s="69" t="s">
        <v>742</v>
      </c>
      <c r="B8" s="69" t="s">
        <v>741</v>
      </c>
    </row>
    <row r="12" spans="1:5" ht="20.100000000000001" customHeight="1">
      <c r="A12" s="70" t="s">
        <v>149</v>
      </c>
      <c r="B12" s="71"/>
    </row>
    <row r="13" spans="1:5">
      <c r="A13" s="69" t="s">
        <v>123</v>
      </c>
      <c r="B13" s="69" t="s">
        <v>743</v>
      </c>
    </row>
    <row r="14" spans="1:5">
      <c r="A14" s="69" t="s">
        <v>124</v>
      </c>
      <c r="B14" s="69" t="s">
        <v>744</v>
      </c>
    </row>
    <row r="15" spans="1:5">
      <c r="A15" s="69" t="s">
        <v>125</v>
      </c>
      <c r="B15" s="69" t="s">
        <v>745</v>
      </c>
    </row>
    <row r="16" spans="1:5">
      <c r="A16" s="69" t="s">
        <v>129</v>
      </c>
      <c r="B16" s="69" t="s">
        <v>746</v>
      </c>
    </row>
    <row r="18" spans="1:3" ht="20.100000000000001" customHeight="1">
      <c r="A18" s="70" t="s">
        <v>132</v>
      </c>
      <c r="B18" s="71"/>
    </row>
    <row r="19" spans="1:3">
      <c r="A19" s="69" t="s">
        <v>747</v>
      </c>
      <c r="B19" s="69" t="s">
        <v>748</v>
      </c>
    </row>
    <row r="21" spans="1:3">
      <c r="A21" s="69" t="s">
        <v>749</v>
      </c>
      <c r="B21" s="69" t="s">
        <v>750</v>
      </c>
    </row>
    <row r="22" spans="1:3">
      <c r="A22" s="69" t="s">
        <v>130</v>
      </c>
      <c r="B22" s="69" t="s">
        <v>751</v>
      </c>
    </row>
    <row r="23" spans="1:3">
      <c r="A23" s="69" t="s">
        <v>239</v>
      </c>
      <c r="B23" s="69" t="s">
        <v>752</v>
      </c>
    </row>
    <row r="24" spans="1:3">
      <c r="A24" s="69" t="s">
        <v>0</v>
      </c>
      <c r="B24" s="69" t="s">
        <v>753</v>
      </c>
    </row>
    <row r="25" spans="1:3">
      <c r="A25" s="69" t="s">
        <v>151</v>
      </c>
      <c r="B25" s="69" t="s">
        <v>754</v>
      </c>
    </row>
    <row r="28" spans="1:3">
      <c r="A28" s="69" t="s">
        <v>159</v>
      </c>
      <c r="B28" s="69" t="s">
        <v>755</v>
      </c>
    </row>
    <row r="29" spans="1:3">
      <c r="A29" s="69" t="s">
        <v>148</v>
      </c>
      <c r="B29" s="69" t="s">
        <v>756</v>
      </c>
      <c r="C29" s="74">
        <v>123</v>
      </c>
    </row>
    <row r="30" spans="1:3">
      <c r="A30" s="69" t="s">
        <v>147</v>
      </c>
      <c r="B30" s="69" t="s">
        <v>757</v>
      </c>
      <c r="C30" s="75">
        <v>123</v>
      </c>
    </row>
    <row r="31" spans="1:3">
      <c r="A31" s="69" t="s">
        <v>131</v>
      </c>
      <c r="B31" s="69" t="s">
        <v>758</v>
      </c>
    </row>
    <row r="33" spans="1:2">
      <c r="A33" s="69" t="s">
        <v>759</v>
      </c>
      <c r="B33" s="69" t="s">
        <v>760</v>
      </c>
    </row>
    <row r="34" spans="1:2">
      <c r="B34" s="69" t="s">
        <v>761</v>
      </c>
    </row>
    <row r="37" spans="1:2">
      <c r="A37" s="69" t="s">
        <v>762</v>
      </c>
      <c r="B37" s="69" t="s">
        <v>763</v>
      </c>
    </row>
    <row r="38" spans="1:2">
      <c r="A38" s="69" t="s">
        <v>764</v>
      </c>
      <c r="B38" s="69" t="s">
        <v>765</v>
      </c>
    </row>
    <row r="39" spans="1:2">
      <c r="A39" s="69" t="s">
        <v>766</v>
      </c>
      <c r="B39" s="69" t="s">
        <v>767</v>
      </c>
    </row>
    <row r="40" spans="1:2">
      <c r="A40" s="69" t="s">
        <v>768</v>
      </c>
      <c r="B40" s="69" t="s">
        <v>769</v>
      </c>
    </row>
    <row r="41" spans="1:2">
      <c r="A41" s="69" t="s">
        <v>770</v>
      </c>
      <c r="B41" s="69" t="s">
        <v>771</v>
      </c>
    </row>
    <row r="42" spans="1:2">
      <c r="A42" s="69" t="s">
        <v>772</v>
      </c>
      <c r="B42" s="69" t="s">
        <v>773</v>
      </c>
    </row>
    <row r="44" spans="1:2">
      <c r="A44" s="69" t="s">
        <v>774</v>
      </c>
    </row>
    <row r="45" spans="1:2">
      <c r="A45" s="69" t="s">
        <v>775</v>
      </c>
      <c r="B45" s="69" t="s">
        <v>776</v>
      </c>
    </row>
    <row r="46" spans="1:2">
      <c r="A46" s="69" t="s">
        <v>777</v>
      </c>
      <c r="B46" s="69" t="s">
        <v>778</v>
      </c>
    </row>
    <row r="48" spans="1:2">
      <c r="A48" s="69" t="s">
        <v>779</v>
      </c>
    </row>
    <row r="49" spans="1:6">
      <c r="A49" s="69" t="s">
        <v>780</v>
      </c>
    </row>
    <row r="50" spans="1:6">
      <c r="A50" s="69" t="s">
        <v>781</v>
      </c>
    </row>
    <row r="51" spans="1:6">
      <c r="A51" s="69" t="s">
        <v>782</v>
      </c>
      <c r="B51" s="69" t="s">
        <v>783</v>
      </c>
    </row>
    <row r="52" spans="1:6">
      <c r="A52" s="69" t="s">
        <v>784</v>
      </c>
      <c r="B52" s="69" t="s">
        <v>785</v>
      </c>
      <c r="F52" s="76"/>
    </row>
    <row r="55" spans="1:6" ht="20.100000000000001" customHeight="1">
      <c r="A55" s="71" t="s">
        <v>786</v>
      </c>
      <c r="B55" s="71"/>
    </row>
    <row r="56" spans="1:6" ht="17.25">
      <c r="A56" s="69" t="s">
        <v>133</v>
      </c>
      <c r="B56" s="69" t="s">
        <v>787</v>
      </c>
      <c r="C56" s="69" t="s">
        <v>788</v>
      </c>
    </row>
    <row r="57" spans="1:6">
      <c r="A57" s="77" t="s">
        <v>82</v>
      </c>
      <c r="B57" s="69" t="s">
        <v>789</v>
      </c>
      <c r="C57" s="69" t="s">
        <v>790</v>
      </c>
      <c r="D57" s="69" t="s">
        <v>791</v>
      </c>
      <c r="E57" s="69" t="s">
        <v>792</v>
      </c>
      <c r="F57" s="69" t="s">
        <v>793</v>
      </c>
    </row>
    <row r="58" spans="1:6">
      <c r="A58" s="69" t="s">
        <v>137</v>
      </c>
      <c r="B58" s="69" t="s">
        <v>794</v>
      </c>
      <c r="C58" s="78" t="s">
        <v>795</v>
      </c>
      <c r="D58" s="78" t="s">
        <v>796</v>
      </c>
      <c r="E58" s="78" t="s">
        <v>797</v>
      </c>
      <c r="F58" s="78" t="s">
        <v>798</v>
      </c>
    </row>
    <row r="59" spans="1:6">
      <c r="A59" s="69" t="s">
        <v>139</v>
      </c>
      <c r="B59" s="69" t="s">
        <v>799</v>
      </c>
      <c r="C59" s="79" t="s">
        <v>141</v>
      </c>
      <c r="D59" s="79" t="s">
        <v>142</v>
      </c>
      <c r="E59" s="79" t="s">
        <v>143</v>
      </c>
      <c r="F59" s="79" t="s">
        <v>144</v>
      </c>
    </row>
    <row r="60" spans="1:6">
      <c r="A60" s="69" t="s">
        <v>800</v>
      </c>
      <c r="B60" s="69" t="s">
        <v>801</v>
      </c>
      <c r="C60" s="80" t="s">
        <v>802</v>
      </c>
      <c r="D60" s="80" t="s">
        <v>803</v>
      </c>
      <c r="E60" s="80" t="s">
        <v>804</v>
      </c>
      <c r="F60" s="80" t="s">
        <v>145</v>
      </c>
    </row>
    <row r="61" spans="1:6">
      <c r="A61" s="69" t="s">
        <v>135</v>
      </c>
      <c r="B61" s="69" t="s">
        <v>805</v>
      </c>
      <c r="C61" s="69" t="str">
        <f>D61&amp;E61</f>
        <v>你好大树先生</v>
      </c>
      <c r="D61" s="69" t="s">
        <v>806</v>
      </c>
      <c r="E61" s="69" t="s">
        <v>807</v>
      </c>
    </row>
    <row r="62" spans="1:6">
      <c r="A62" s="69" t="s">
        <v>136</v>
      </c>
      <c r="B62" s="69" t="s">
        <v>808</v>
      </c>
      <c r="C62" s="81">
        <v>120</v>
      </c>
    </row>
    <row r="63" spans="1:6">
      <c r="A63" s="69" t="s">
        <v>809</v>
      </c>
      <c r="B63" s="69" t="s">
        <v>810</v>
      </c>
      <c r="C63" s="82">
        <v>18.231000000000002</v>
      </c>
      <c r="D63" s="82">
        <v>45.012</v>
      </c>
      <c r="E63" s="82">
        <v>75</v>
      </c>
      <c r="F63" s="76">
        <v>1</v>
      </c>
    </row>
    <row r="65" spans="1:4" ht="20.100000000000001" customHeight="1">
      <c r="A65" s="71" t="s">
        <v>811</v>
      </c>
      <c r="B65" s="71"/>
    </row>
    <row r="66" spans="1:4">
      <c r="A66" s="69" t="s">
        <v>812</v>
      </c>
      <c r="B66" s="69" t="s">
        <v>813</v>
      </c>
    </row>
    <row r="67" spans="1:4">
      <c r="A67" s="69" t="s">
        <v>814</v>
      </c>
      <c r="B67" s="69" t="s">
        <v>815</v>
      </c>
    </row>
    <row r="68" spans="1:4">
      <c r="A68" s="69" t="s">
        <v>816</v>
      </c>
      <c r="B68" s="69" t="s">
        <v>817</v>
      </c>
    </row>
    <row r="69" spans="1:4">
      <c r="A69" s="69" t="s">
        <v>818</v>
      </c>
      <c r="B69" s="69" t="s">
        <v>819</v>
      </c>
    </row>
    <row r="70" spans="1:4">
      <c r="A70" s="69" t="s">
        <v>820</v>
      </c>
      <c r="B70" s="69" t="s">
        <v>821</v>
      </c>
    </row>
    <row r="71" spans="1:4">
      <c r="A71" s="69" t="s">
        <v>822</v>
      </c>
      <c r="B71" s="69" t="s">
        <v>823</v>
      </c>
    </row>
    <row r="74" spans="1:4">
      <c r="A74" s="69" t="s">
        <v>581</v>
      </c>
      <c r="B74" s="85" t="s">
        <v>828</v>
      </c>
    </row>
    <row r="76" spans="1:4" ht="47.25">
      <c r="A76" s="69" t="s">
        <v>824</v>
      </c>
      <c r="B76" s="86" t="s">
        <v>709</v>
      </c>
      <c r="C76" s="83" t="s">
        <v>825</v>
      </c>
      <c r="D76" s="83" t="s">
        <v>710</v>
      </c>
    </row>
    <row r="77" spans="1:4">
      <c r="A77" s="69" t="s">
        <v>826</v>
      </c>
      <c r="B77" s="69" t="s">
        <v>827</v>
      </c>
    </row>
  </sheetData>
  <phoneticPr fontId="1" type="noConversion"/>
  <dataValidations count="1">
    <dataValidation type="decimal" allowBlank="1" showInputMessage="1" showErrorMessage="1" sqref="F2:F31" xr:uid="{8FFD5AEB-EB1A-48C2-85F9-1DBAD61B2763}">
      <formula1>0</formula1>
      <formula2>1000</formula2>
    </dataValidation>
  </dataValidations>
  <hyperlinks>
    <hyperlink ref="B56" r:id="rId1" xr:uid="{1CAA0E7D-543A-464B-AF8B-2AC068EB3D20}"/>
    <hyperlink ref="A58" r:id="rId2" xr:uid="{E34B4363-AEE0-4E5E-9224-3512E96321A4}"/>
  </hyperlinks>
  <pageMargins left="0.70866141732283472" right="0.70866141732283472" top="0.74803149606299213" bottom="0.74803149606299213" header="0.31496062992125984" footer="0.31496062992125984"/>
  <pageSetup paperSize="9" orientation="landscape"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D9943-8280-4FB9-9DD4-59A5C09DF45C}">
  <sheetPr>
    <tabColor rgb="FF0070C0"/>
  </sheetPr>
  <dimension ref="A1:P61"/>
  <sheetViews>
    <sheetView topLeftCell="B10" workbookViewId="0">
      <selection activeCell="M66" sqref="M66"/>
    </sheetView>
  </sheetViews>
  <sheetFormatPr defaultColWidth="9" defaultRowHeight="14.25"/>
  <cols>
    <col min="1" max="1" width="9.125" style="12" bestFit="1" customWidth="1"/>
    <col min="2" max="2" width="11.625" style="12" bestFit="1" customWidth="1"/>
    <col min="3" max="3" width="11" style="12" bestFit="1" customWidth="1"/>
    <col min="4" max="4" width="11.125" style="12" bestFit="1" customWidth="1"/>
    <col min="5" max="5" width="7.5" style="12" bestFit="1" customWidth="1"/>
    <col min="6" max="6" width="16.375" style="12" bestFit="1" customWidth="1"/>
    <col min="7" max="7" width="11.125" style="12" bestFit="1" customWidth="1"/>
    <col min="8" max="8" width="8.5" style="12" bestFit="1" customWidth="1"/>
    <col min="9" max="9" width="6.25" style="12" bestFit="1" customWidth="1"/>
    <col min="10" max="10" width="11" style="12" bestFit="1" customWidth="1"/>
    <col min="11" max="11" width="11" style="12" customWidth="1"/>
    <col min="12" max="12" width="11" style="12" bestFit="1" customWidth="1"/>
    <col min="13" max="13" width="31.5" style="12" bestFit="1" customWidth="1"/>
    <col min="14" max="14" width="24" style="12" bestFit="1" customWidth="1"/>
    <col min="15" max="15" width="15.625" style="12" bestFit="1" customWidth="1"/>
    <col min="16" max="16" width="6.25" style="12" bestFit="1" customWidth="1"/>
    <col min="17" max="16384" width="9" style="12"/>
  </cols>
  <sheetData>
    <row r="1" spans="1:8">
      <c r="B1" s="12" t="s">
        <v>588</v>
      </c>
      <c r="C1" s="12" t="s">
        <v>2</v>
      </c>
      <c r="D1" s="12" t="s">
        <v>3</v>
      </c>
      <c r="E1" s="12" t="s">
        <v>4</v>
      </c>
      <c r="F1" s="12" t="s">
        <v>5</v>
      </c>
      <c r="G1" s="12" t="s">
        <v>6</v>
      </c>
      <c r="H1" s="12" t="s">
        <v>7</v>
      </c>
    </row>
    <row r="2" spans="1:8">
      <c r="A2" s="64" t="s">
        <v>719</v>
      </c>
      <c r="C2" s="92" t="s">
        <v>729</v>
      </c>
      <c r="D2" s="92" t="s">
        <v>729</v>
      </c>
    </row>
    <row r="3" spans="1:8">
      <c r="A3" s="64" t="s">
        <v>720</v>
      </c>
      <c r="C3" s="93"/>
      <c r="D3" s="93"/>
    </row>
    <row r="4" spans="1:8">
      <c r="A4" s="64" t="s">
        <v>715</v>
      </c>
      <c r="C4" s="93"/>
      <c r="D4" s="93"/>
    </row>
    <row r="5" spans="1:8">
      <c r="A5" s="64" t="s">
        <v>721</v>
      </c>
      <c r="C5" s="93"/>
      <c r="D5" s="93"/>
    </row>
    <row r="6" spans="1:8">
      <c r="A6" s="64" t="s">
        <v>722</v>
      </c>
      <c r="C6" s="93"/>
      <c r="D6" s="93"/>
    </row>
    <row r="7" spans="1:8">
      <c r="A7" s="64" t="s">
        <v>723</v>
      </c>
      <c r="D7" s="94" t="s">
        <v>730</v>
      </c>
    </row>
    <row r="8" spans="1:8">
      <c r="A8" s="64" t="s">
        <v>724</v>
      </c>
      <c r="D8" s="95"/>
    </row>
    <row r="9" spans="1:8">
      <c r="A9" s="64" t="s">
        <v>725</v>
      </c>
      <c r="D9" s="95"/>
    </row>
    <row r="10" spans="1:8">
      <c r="A10" s="64" t="s">
        <v>726</v>
      </c>
      <c r="D10" s="95"/>
    </row>
    <row r="11" spans="1:8">
      <c r="A11" s="64" t="s">
        <v>727</v>
      </c>
    </row>
    <row r="12" spans="1:8">
      <c r="A12" s="64" t="s">
        <v>728</v>
      </c>
    </row>
    <row r="13" spans="1:8">
      <c r="A13" s="64" t="s">
        <v>716</v>
      </c>
    </row>
    <row r="16" spans="1:8" hidden="1"/>
    <row r="17" spans="1:15" hidden="1">
      <c r="A17" s="106" t="s">
        <v>45</v>
      </c>
      <c r="B17" s="106"/>
      <c r="C17" s="106"/>
      <c r="D17" s="106"/>
      <c r="E17" s="106"/>
      <c r="F17" s="106"/>
      <c r="G17" s="106"/>
      <c r="H17" s="106"/>
      <c r="I17" s="106"/>
      <c r="J17" s="106"/>
      <c r="K17" s="106"/>
      <c r="L17" s="106"/>
      <c r="M17" s="106"/>
    </row>
    <row r="18" spans="1:15" ht="20.25" hidden="1" customHeight="1">
      <c r="A18" s="106"/>
      <c r="B18" s="106"/>
      <c r="C18" s="106"/>
      <c r="D18" s="106"/>
      <c r="E18" s="106"/>
      <c r="F18" s="106"/>
      <c r="G18" s="106"/>
      <c r="H18" s="106"/>
      <c r="I18" s="106"/>
      <c r="J18" s="106"/>
      <c r="K18" s="106"/>
      <c r="L18" s="106"/>
      <c r="M18" s="106"/>
    </row>
    <row r="19" spans="1:15" ht="20.100000000000001" hidden="1" customHeight="1">
      <c r="B19" s="12">
        <v>1</v>
      </c>
      <c r="C19" s="12">
        <v>2</v>
      </c>
      <c r="D19" s="12">
        <v>3</v>
      </c>
      <c r="E19" s="12">
        <v>4</v>
      </c>
      <c r="F19" s="12">
        <v>5</v>
      </c>
      <c r="G19" s="12">
        <v>6</v>
      </c>
      <c r="H19" s="12">
        <v>7</v>
      </c>
      <c r="I19" s="12">
        <v>8</v>
      </c>
      <c r="J19" s="12">
        <v>9</v>
      </c>
      <c r="K19" s="12">
        <v>10</v>
      </c>
      <c r="L19" s="12">
        <v>11</v>
      </c>
      <c r="M19" s="12">
        <v>12</v>
      </c>
    </row>
    <row r="20" spans="1:15" ht="20.100000000000001" hidden="1" customHeight="1">
      <c r="A20" s="12" t="s">
        <v>1</v>
      </c>
      <c r="K20" s="87" t="s">
        <v>56</v>
      </c>
      <c r="L20" s="87"/>
    </row>
    <row r="21" spans="1:15" ht="20.100000000000001" hidden="1" customHeight="1">
      <c r="A21" s="12" t="s">
        <v>2</v>
      </c>
      <c r="G21" s="87" t="s">
        <v>15</v>
      </c>
      <c r="H21" s="87"/>
      <c r="I21" s="87"/>
      <c r="J21" s="87"/>
      <c r="K21" s="87" t="s">
        <v>57</v>
      </c>
      <c r="L21" s="87"/>
      <c r="M21" s="12" t="s">
        <v>58</v>
      </c>
    </row>
    <row r="22" spans="1:15" ht="20.100000000000001" hidden="1" customHeight="1">
      <c r="A22" s="12" t="s">
        <v>3</v>
      </c>
      <c r="G22" s="87" t="s">
        <v>54</v>
      </c>
      <c r="H22" s="87"/>
      <c r="I22" s="87"/>
      <c r="J22" s="87"/>
      <c r="K22" s="87" t="s">
        <v>44</v>
      </c>
      <c r="L22" s="87"/>
      <c r="M22" s="87"/>
    </row>
    <row r="23" spans="1:15" ht="20.100000000000001" hidden="1" customHeight="1">
      <c r="A23" s="12" t="s">
        <v>4</v>
      </c>
      <c r="K23" s="87" t="s">
        <v>41</v>
      </c>
      <c r="L23" s="87"/>
      <c r="M23" s="87"/>
    </row>
    <row r="24" spans="1:15" ht="20.100000000000001" hidden="1" customHeight="1">
      <c r="A24" s="12" t="s">
        <v>5</v>
      </c>
      <c r="E24" s="87" t="s">
        <v>43</v>
      </c>
      <c r="F24" s="87"/>
      <c r="G24" s="87" t="s">
        <v>53</v>
      </c>
      <c r="H24" s="87"/>
      <c r="I24" s="87"/>
      <c r="J24" s="87"/>
    </row>
    <row r="25" spans="1:15" ht="20.100000000000001" hidden="1" customHeight="1">
      <c r="A25" s="12" t="s">
        <v>6</v>
      </c>
      <c r="O25" s="36">
        <v>0.78</v>
      </c>
    </row>
    <row r="26" spans="1:15" ht="20.100000000000001" hidden="1" customHeight="1">
      <c r="A26" s="12" t="s">
        <v>7</v>
      </c>
      <c r="O26" s="37">
        <f>1-O25</f>
        <v>0.21999999999999997</v>
      </c>
    </row>
    <row r="27" spans="1:15" ht="20.100000000000001" hidden="1" customHeight="1">
      <c r="A27" s="12" t="s">
        <v>8</v>
      </c>
      <c r="B27" s="87" t="s">
        <v>9</v>
      </c>
      <c r="C27" s="87"/>
      <c r="D27" s="12" t="s">
        <v>10</v>
      </c>
      <c r="E27" s="87" t="s">
        <v>11</v>
      </c>
      <c r="F27" s="87"/>
      <c r="G27" s="87" t="s">
        <v>12</v>
      </c>
      <c r="H27" s="87"/>
      <c r="I27" s="87" t="s">
        <v>13</v>
      </c>
      <c r="J27" s="87"/>
      <c r="K27" s="87" t="s">
        <v>42</v>
      </c>
      <c r="L27" s="87"/>
      <c r="M27" s="12" t="s">
        <v>14</v>
      </c>
    </row>
    <row r="28" spans="1:15" ht="20.100000000000001" hidden="1" customHeight="1"/>
    <row r="29" spans="1:15" ht="20.100000000000001" hidden="1" customHeight="1" thickBot="1">
      <c r="B29" s="1" t="s">
        <v>16</v>
      </c>
      <c r="D29" s="1" t="s">
        <v>22</v>
      </c>
      <c r="F29" s="1" t="s">
        <v>23</v>
      </c>
      <c r="H29" s="1" t="s">
        <v>24</v>
      </c>
      <c r="J29" s="1" t="s">
        <v>25</v>
      </c>
    </row>
    <row r="30" spans="1:15" ht="20.100000000000001" hidden="1" customHeight="1" thickTop="1">
      <c r="A30" s="31" t="s">
        <v>36</v>
      </c>
      <c r="B30" s="31" t="s">
        <v>46</v>
      </c>
      <c r="C30" s="31"/>
      <c r="D30" s="31" t="s">
        <v>17</v>
      </c>
      <c r="E30" s="31"/>
      <c r="F30" s="31"/>
      <c r="G30" s="31"/>
      <c r="H30" s="31" t="s">
        <v>31</v>
      </c>
      <c r="I30" s="31"/>
      <c r="J30" s="31" t="s">
        <v>26</v>
      </c>
    </row>
    <row r="31" spans="1:15" ht="20.100000000000001" hidden="1" customHeight="1">
      <c r="A31" s="32" t="s">
        <v>37</v>
      </c>
      <c r="B31" s="32" t="s">
        <v>47</v>
      </c>
      <c r="C31" s="32"/>
      <c r="D31" s="32" t="s">
        <v>18</v>
      </c>
      <c r="E31" s="32"/>
      <c r="F31" s="32"/>
      <c r="G31" s="32"/>
      <c r="H31" s="32" t="s">
        <v>32</v>
      </c>
      <c r="I31" s="32"/>
      <c r="J31" s="32" t="s">
        <v>27</v>
      </c>
    </row>
    <row r="32" spans="1:15" ht="20.100000000000001" hidden="1" customHeight="1">
      <c r="A32" s="32" t="s">
        <v>38</v>
      </c>
      <c r="B32" s="32" t="s">
        <v>48</v>
      </c>
      <c r="C32" s="32"/>
      <c r="D32" s="32" t="s">
        <v>19</v>
      </c>
      <c r="E32" s="32"/>
      <c r="F32" s="32"/>
      <c r="G32" s="32"/>
      <c r="H32" s="32" t="s">
        <v>33</v>
      </c>
      <c r="I32" s="32"/>
      <c r="J32" s="32" t="s">
        <v>28</v>
      </c>
    </row>
    <row r="33" spans="1:16" ht="20.100000000000001" hidden="1" customHeight="1">
      <c r="A33" s="32" t="s">
        <v>39</v>
      </c>
      <c r="B33" s="32" t="s">
        <v>49</v>
      </c>
      <c r="C33" s="32"/>
      <c r="D33" s="32" t="s">
        <v>20</v>
      </c>
      <c r="E33" s="32"/>
      <c r="F33" s="32"/>
      <c r="G33" s="32"/>
      <c r="H33" s="32" t="s">
        <v>34</v>
      </c>
      <c r="I33" s="32"/>
      <c r="J33" s="32" t="s">
        <v>29</v>
      </c>
    </row>
    <row r="34" spans="1:16" ht="20.100000000000001" hidden="1" customHeight="1">
      <c r="A34" s="32" t="s">
        <v>40</v>
      </c>
      <c r="B34" s="32" t="s">
        <v>50</v>
      </c>
      <c r="C34" s="32"/>
      <c r="D34" s="32" t="s">
        <v>21</v>
      </c>
      <c r="E34" s="32"/>
      <c r="F34" s="32"/>
      <c r="G34" s="32"/>
      <c r="H34" s="32" t="s">
        <v>35</v>
      </c>
      <c r="I34" s="32"/>
      <c r="J34" s="32" t="s">
        <v>30</v>
      </c>
      <c r="M34" s="12" t="s">
        <v>55</v>
      </c>
    </row>
    <row r="35" spans="1:16" ht="20.100000000000001" hidden="1" customHeight="1">
      <c r="A35" s="32" t="s">
        <v>52</v>
      </c>
      <c r="B35" s="32" t="s">
        <v>51</v>
      </c>
      <c r="C35" s="32"/>
      <c r="D35" s="32"/>
      <c r="E35" s="32"/>
      <c r="F35" s="32"/>
      <c r="G35" s="32"/>
      <c r="H35" s="32"/>
      <c r="I35" s="32"/>
      <c r="J35" s="32"/>
    </row>
    <row r="37" spans="1:16" ht="60" customHeight="1">
      <c r="A37" s="96" t="s">
        <v>589</v>
      </c>
      <c r="B37" s="97"/>
      <c r="C37" s="97"/>
      <c r="D37" s="97"/>
      <c r="E37" s="97"/>
      <c r="F37" s="97"/>
      <c r="G37" s="97"/>
      <c r="H37" s="97"/>
      <c r="I37" s="97"/>
      <c r="J37" s="97"/>
      <c r="K37" s="97"/>
      <c r="L37" s="97"/>
      <c r="M37" s="97"/>
      <c r="N37" s="97"/>
      <c r="O37" s="97"/>
      <c r="P37" s="97"/>
    </row>
    <row r="38" spans="1:16">
      <c r="A38" s="34" t="s">
        <v>590</v>
      </c>
      <c r="B38" s="34" t="s">
        <v>591</v>
      </c>
      <c r="C38" s="34" t="s">
        <v>592</v>
      </c>
      <c r="D38" s="34" t="s">
        <v>593</v>
      </c>
      <c r="E38" s="34" t="s">
        <v>594</v>
      </c>
      <c r="F38" s="34" t="s">
        <v>595</v>
      </c>
      <c r="G38" s="35" t="s">
        <v>596</v>
      </c>
      <c r="H38" s="34" t="s">
        <v>597</v>
      </c>
      <c r="I38" s="34" t="s">
        <v>598</v>
      </c>
      <c r="J38" s="34" t="s">
        <v>718</v>
      </c>
      <c r="K38" s="34" t="s">
        <v>599</v>
      </c>
      <c r="L38" s="34" t="s">
        <v>600</v>
      </c>
      <c r="M38" s="34" t="s">
        <v>601</v>
      </c>
      <c r="N38" s="34" t="s">
        <v>600</v>
      </c>
      <c r="O38" s="34" t="s">
        <v>601</v>
      </c>
      <c r="P38" s="34" t="s">
        <v>602</v>
      </c>
    </row>
    <row r="39" spans="1:16" hidden="1">
      <c r="A39" s="38" t="s">
        <v>603</v>
      </c>
      <c r="B39" s="38" t="s">
        <v>604</v>
      </c>
      <c r="C39" s="38" t="s">
        <v>605</v>
      </c>
      <c r="D39" s="38" t="s">
        <v>606</v>
      </c>
      <c r="E39" s="38">
        <v>2021</v>
      </c>
      <c r="F39" s="39" t="s">
        <v>607</v>
      </c>
      <c r="G39" s="38" t="s">
        <v>608</v>
      </c>
      <c r="H39" s="38">
        <v>51</v>
      </c>
      <c r="I39" s="38">
        <v>3</v>
      </c>
      <c r="J39" s="38" t="s">
        <v>609</v>
      </c>
      <c r="K39" s="38">
        <v>88</v>
      </c>
      <c r="L39" s="43" t="s">
        <v>682</v>
      </c>
      <c r="M39" s="51" t="s">
        <v>684</v>
      </c>
      <c r="N39" s="57"/>
      <c r="O39" s="38"/>
      <c r="P39" s="40"/>
    </row>
    <row r="40" spans="1:16" hidden="1">
      <c r="A40" s="38" t="s">
        <v>603</v>
      </c>
      <c r="B40" s="38" t="s">
        <v>604</v>
      </c>
      <c r="C40" s="38" t="s">
        <v>610</v>
      </c>
      <c r="D40" s="40" t="s">
        <v>611</v>
      </c>
      <c r="E40" s="38">
        <v>2021</v>
      </c>
      <c r="F40" s="39" t="s">
        <v>612</v>
      </c>
      <c r="G40" s="38" t="s">
        <v>608</v>
      </c>
      <c r="H40" s="38">
        <v>51</v>
      </c>
      <c r="I40" s="38">
        <v>3</v>
      </c>
      <c r="J40" s="38" t="s">
        <v>609</v>
      </c>
      <c r="K40" s="38">
        <v>88</v>
      </c>
      <c r="L40" s="43" t="s">
        <v>682</v>
      </c>
      <c r="M40" s="51" t="s">
        <v>683</v>
      </c>
      <c r="N40" s="57"/>
      <c r="O40" s="38"/>
      <c r="P40" s="40"/>
    </row>
    <row r="41" spans="1:16" hidden="1">
      <c r="A41" s="38" t="s">
        <v>603</v>
      </c>
      <c r="B41" s="38" t="s">
        <v>604</v>
      </c>
      <c r="C41" s="41" t="s">
        <v>613</v>
      </c>
      <c r="D41" s="38" t="s">
        <v>606</v>
      </c>
      <c r="E41" s="38">
        <v>2021</v>
      </c>
      <c r="F41" s="39" t="s">
        <v>614</v>
      </c>
      <c r="G41" s="38" t="s">
        <v>608</v>
      </c>
      <c r="H41" s="38">
        <v>51</v>
      </c>
      <c r="I41" s="38">
        <v>3</v>
      </c>
      <c r="J41" s="38" t="s">
        <v>609</v>
      </c>
      <c r="K41" s="38">
        <v>70</v>
      </c>
      <c r="L41" s="50" t="s">
        <v>679</v>
      </c>
      <c r="M41" s="52" t="s">
        <v>678</v>
      </c>
      <c r="N41" s="58"/>
      <c r="O41" s="41"/>
      <c r="P41" s="40"/>
    </row>
    <row r="42" spans="1:16" hidden="1">
      <c r="A42" s="38" t="s">
        <v>603</v>
      </c>
      <c r="B42" s="38" t="s">
        <v>604</v>
      </c>
      <c r="C42" s="41" t="s">
        <v>615</v>
      </c>
      <c r="D42" s="38" t="s">
        <v>616</v>
      </c>
      <c r="E42" s="38">
        <v>2021</v>
      </c>
      <c r="F42" s="40" t="s">
        <v>617</v>
      </c>
      <c r="G42" s="38" t="s">
        <v>608</v>
      </c>
      <c r="H42" s="38">
        <v>51</v>
      </c>
      <c r="I42" s="38">
        <v>3</v>
      </c>
      <c r="J42" s="38" t="s">
        <v>609</v>
      </c>
      <c r="K42" s="38">
        <v>72</v>
      </c>
      <c r="L42" s="50" t="s">
        <v>680</v>
      </c>
      <c r="M42" s="52" t="s">
        <v>681</v>
      </c>
      <c r="N42" s="58"/>
      <c r="O42" s="41"/>
      <c r="P42" s="40"/>
    </row>
    <row r="43" spans="1:16" hidden="1">
      <c r="A43" s="38" t="s">
        <v>603</v>
      </c>
      <c r="B43" s="38" t="s">
        <v>604</v>
      </c>
      <c r="C43" s="41" t="s">
        <v>618</v>
      </c>
      <c r="D43" s="38" t="s">
        <v>606</v>
      </c>
      <c r="E43" s="38">
        <v>2021</v>
      </c>
      <c r="F43" s="39" t="s">
        <v>619</v>
      </c>
      <c r="G43" s="38" t="s">
        <v>608</v>
      </c>
      <c r="H43" s="38">
        <v>51</v>
      </c>
      <c r="I43" s="38">
        <v>3</v>
      </c>
      <c r="J43" s="38" t="s">
        <v>609</v>
      </c>
      <c r="K43" s="38">
        <v>62</v>
      </c>
      <c r="L43" s="42" t="s">
        <v>620</v>
      </c>
      <c r="M43" s="53">
        <v>2415</v>
      </c>
      <c r="N43" s="58" t="s">
        <v>621</v>
      </c>
      <c r="O43" s="41">
        <v>2415</v>
      </c>
      <c r="P43" s="40"/>
    </row>
    <row r="44" spans="1:16" hidden="1">
      <c r="A44" s="38" t="s">
        <v>603</v>
      </c>
      <c r="B44" s="38" t="s">
        <v>604</v>
      </c>
      <c r="C44" s="41" t="s">
        <v>622</v>
      </c>
      <c r="D44" s="38" t="s">
        <v>606</v>
      </c>
      <c r="E44" s="38">
        <v>2021</v>
      </c>
      <c r="F44" s="39" t="s">
        <v>623</v>
      </c>
      <c r="G44" s="38" t="s">
        <v>608</v>
      </c>
      <c r="H44" s="38">
        <v>51</v>
      </c>
      <c r="I44" s="38">
        <v>3</v>
      </c>
      <c r="J44" s="38" t="s">
        <v>609</v>
      </c>
      <c r="K44" s="38">
        <v>62</v>
      </c>
      <c r="L44" s="42" t="s">
        <v>624</v>
      </c>
      <c r="M44" s="53">
        <v>2214</v>
      </c>
      <c r="N44" s="58" t="s">
        <v>625</v>
      </c>
      <c r="O44" s="41">
        <v>2214</v>
      </c>
      <c r="P44" s="40"/>
    </row>
    <row r="45" spans="1:16">
      <c r="A45" s="46" t="s">
        <v>603</v>
      </c>
      <c r="B45" s="46" t="s">
        <v>604</v>
      </c>
      <c r="C45" s="48" t="s">
        <v>626</v>
      </c>
      <c r="D45" s="46" t="s">
        <v>606</v>
      </c>
      <c r="E45" s="46">
        <v>2021</v>
      </c>
      <c r="F45" s="49" t="s">
        <v>627</v>
      </c>
      <c r="G45" s="46" t="s">
        <v>608</v>
      </c>
      <c r="H45" s="46">
        <v>51</v>
      </c>
      <c r="I45" s="46">
        <v>3</v>
      </c>
      <c r="J45" s="46" t="s">
        <v>609</v>
      </c>
      <c r="K45" s="46">
        <v>63</v>
      </c>
      <c r="L45" s="65" t="s">
        <v>670</v>
      </c>
      <c r="M45" s="54" t="s">
        <v>671</v>
      </c>
      <c r="N45" s="59" t="s">
        <v>672</v>
      </c>
      <c r="O45" s="66" t="s">
        <v>714</v>
      </c>
      <c r="P45" s="47"/>
    </row>
    <row r="46" spans="1:16" hidden="1">
      <c r="A46" s="38" t="s">
        <v>603</v>
      </c>
      <c r="B46" s="38" t="s">
        <v>604</v>
      </c>
      <c r="C46" s="38" t="s">
        <v>622</v>
      </c>
      <c r="D46" s="38" t="s">
        <v>606</v>
      </c>
      <c r="E46" s="38">
        <v>2021</v>
      </c>
      <c r="F46" s="40" t="s">
        <v>628</v>
      </c>
      <c r="G46" s="38" t="s">
        <v>608</v>
      </c>
      <c r="H46" s="38">
        <v>51</v>
      </c>
      <c r="I46" s="38">
        <v>3</v>
      </c>
      <c r="J46" s="38" t="s">
        <v>609</v>
      </c>
      <c r="K46" s="38">
        <v>79</v>
      </c>
      <c r="L46" s="57" t="s">
        <v>629</v>
      </c>
      <c r="M46" s="55">
        <v>2314</v>
      </c>
      <c r="N46" s="60" t="s">
        <v>630</v>
      </c>
      <c r="O46" s="55">
        <v>2315</v>
      </c>
      <c r="P46" s="40"/>
    </row>
    <row r="47" spans="1:16" hidden="1">
      <c r="A47" s="38" t="s">
        <v>603</v>
      </c>
      <c r="B47" s="98" t="s">
        <v>604</v>
      </c>
      <c r="C47" s="98" t="s">
        <v>618</v>
      </c>
      <c r="D47" s="98" t="s">
        <v>606</v>
      </c>
      <c r="E47" s="38">
        <v>2021</v>
      </c>
      <c r="F47" s="40" t="s">
        <v>631</v>
      </c>
      <c r="G47" s="38" t="s">
        <v>608</v>
      </c>
      <c r="H47" s="38">
        <v>51</v>
      </c>
      <c r="I47" s="38">
        <v>3</v>
      </c>
      <c r="J47" s="38" t="s">
        <v>609</v>
      </c>
      <c r="K47" s="38">
        <v>31</v>
      </c>
      <c r="L47" s="100" t="s">
        <v>632</v>
      </c>
      <c r="M47" s="102" t="s">
        <v>633</v>
      </c>
      <c r="N47" s="100" t="s">
        <v>634</v>
      </c>
      <c r="O47" s="104">
        <v>2314</v>
      </c>
      <c r="P47" s="40"/>
    </row>
    <row r="48" spans="1:16" hidden="1">
      <c r="A48" s="38" t="s">
        <v>603</v>
      </c>
      <c r="B48" s="99"/>
      <c r="C48" s="99"/>
      <c r="D48" s="99"/>
      <c r="E48" s="38">
        <v>2021</v>
      </c>
      <c r="F48" s="40" t="s">
        <v>635</v>
      </c>
      <c r="G48" s="38" t="s">
        <v>608</v>
      </c>
      <c r="H48" s="38">
        <v>51</v>
      </c>
      <c r="I48" s="38">
        <v>3</v>
      </c>
      <c r="J48" s="38" t="s">
        <v>609</v>
      </c>
      <c r="K48" s="38">
        <v>27</v>
      </c>
      <c r="L48" s="101"/>
      <c r="M48" s="103"/>
      <c r="N48" s="101"/>
      <c r="O48" s="105"/>
      <c r="P48" s="40"/>
    </row>
    <row r="49" spans="1:16" hidden="1">
      <c r="A49" s="38" t="s">
        <v>603</v>
      </c>
      <c r="B49" s="38" t="s">
        <v>604</v>
      </c>
      <c r="C49" s="38" t="s">
        <v>636</v>
      </c>
      <c r="D49" s="40" t="s">
        <v>637</v>
      </c>
      <c r="E49" s="38">
        <v>2021</v>
      </c>
      <c r="F49" s="39" t="s">
        <v>638</v>
      </c>
      <c r="G49" s="38" t="s">
        <v>608</v>
      </c>
      <c r="H49" s="38">
        <v>51</v>
      </c>
      <c r="I49" s="38">
        <v>3</v>
      </c>
      <c r="J49" s="38" t="s">
        <v>609</v>
      </c>
      <c r="K49" s="38">
        <v>69</v>
      </c>
      <c r="L49" s="57" t="s">
        <v>639</v>
      </c>
      <c r="M49" s="55">
        <v>2314</v>
      </c>
      <c r="N49" s="57" t="s">
        <v>640</v>
      </c>
      <c r="O49" s="55">
        <v>2314</v>
      </c>
      <c r="P49" s="40"/>
    </row>
    <row r="50" spans="1:16" hidden="1">
      <c r="A50" s="38" t="s">
        <v>603</v>
      </c>
      <c r="B50" s="38" t="s">
        <v>604</v>
      </c>
      <c r="C50" s="38" t="s">
        <v>641</v>
      </c>
      <c r="D50" s="38" t="s">
        <v>642</v>
      </c>
      <c r="E50" s="38">
        <v>2021</v>
      </c>
      <c r="F50" s="39" t="s">
        <v>643</v>
      </c>
      <c r="G50" s="38" t="s">
        <v>608</v>
      </c>
      <c r="H50" s="38">
        <v>51</v>
      </c>
      <c r="I50" s="38">
        <v>3</v>
      </c>
      <c r="J50" s="38" t="s">
        <v>609</v>
      </c>
      <c r="K50" s="38">
        <v>70</v>
      </c>
      <c r="L50" s="57" t="s">
        <v>644</v>
      </c>
      <c r="M50" s="55">
        <v>2315</v>
      </c>
      <c r="N50" s="57"/>
      <c r="O50" s="55"/>
      <c r="P50" s="40"/>
    </row>
    <row r="51" spans="1:16" hidden="1">
      <c r="A51" s="38" t="s">
        <v>603</v>
      </c>
      <c r="B51" s="38" t="s">
        <v>604</v>
      </c>
      <c r="C51" s="38" t="s">
        <v>618</v>
      </c>
      <c r="D51" s="38" t="s">
        <v>606</v>
      </c>
      <c r="E51" s="38">
        <v>2021</v>
      </c>
      <c r="F51" s="39" t="s">
        <v>645</v>
      </c>
      <c r="G51" s="38" t="s">
        <v>608</v>
      </c>
      <c r="H51" s="38">
        <v>51</v>
      </c>
      <c r="I51" s="38">
        <v>3</v>
      </c>
      <c r="J51" s="38" t="s">
        <v>609</v>
      </c>
      <c r="K51" s="38">
        <v>85</v>
      </c>
      <c r="L51" s="60" t="s">
        <v>672</v>
      </c>
      <c r="M51" s="51" t="s">
        <v>673</v>
      </c>
      <c r="N51" s="57"/>
      <c r="O51" s="55"/>
      <c r="P51" s="38"/>
    </row>
    <row r="52" spans="1:16" hidden="1">
      <c r="A52" s="38" t="s">
        <v>603</v>
      </c>
      <c r="B52" s="38" t="s">
        <v>604</v>
      </c>
      <c r="C52" s="38" t="s">
        <v>646</v>
      </c>
      <c r="D52" s="38" t="s">
        <v>606</v>
      </c>
      <c r="E52" s="38">
        <v>2021</v>
      </c>
      <c r="F52" s="39" t="s">
        <v>647</v>
      </c>
      <c r="G52" s="38" t="s">
        <v>608</v>
      </c>
      <c r="H52" s="38">
        <v>51</v>
      </c>
      <c r="I52" s="38">
        <v>3</v>
      </c>
      <c r="J52" s="38" t="s">
        <v>609</v>
      </c>
      <c r="K52" s="38">
        <v>62</v>
      </c>
      <c r="L52" s="60" t="s">
        <v>672</v>
      </c>
      <c r="M52" s="51" t="s">
        <v>674</v>
      </c>
      <c r="N52" s="57"/>
      <c r="O52" s="55"/>
      <c r="P52" s="38"/>
    </row>
    <row r="53" spans="1:16" hidden="1">
      <c r="A53" s="38" t="s">
        <v>603</v>
      </c>
      <c r="B53" s="38" t="s">
        <v>604</v>
      </c>
      <c r="C53" s="38" t="s">
        <v>648</v>
      </c>
      <c r="D53" s="38"/>
      <c r="E53" s="38">
        <v>2021</v>
      </c>
      <c r="F53" s="40" t="s">
        <v>649</v>
      </c>
      <c r="G53" s="38" t="s">
        <v>608</v>
      </c>
      <c r="H53" s="38">
        <v>51</v>
      </c>
      <c r="I53" s="38">
        <v>3</v>
      </c>
      <c r="J53" s="38" t="s">
        <v>609</v>
      </c>
      <c r="K53" s="38">
        <v>62</v>
      </c>
      <c r="L53" s="60" t="s">
        <v>655</v>
      </c>
      <c r="M53" s="51" t="s">
        <v>675</v>
      </c>
      <c r="N53" s="57" t="s">
        <v>650</v>
      </c>
      <c r="O53" s="55">
        <v>2214</v>
      </c>
      <c r="P53" s="38"/>
    </row>
    <row r="54" spans="1:16" hidden="1">
      <c r="A54" s="38" t="s">
        <v>603</v>
      </c>
      <c r="B54" s="38" t="s">
        <v>604</v>
      </c>
      <c r="C54" s="38" t="s">
        <v>610</v>
      </c>
      <c r="D54" s="40" t="s">
        <v>611</v>
      </c>
      <c r="E54" s="38">
        <v>2021</v>
      </c>
      <c r="F54" s="40" t="s">
        <v>651</v>
      </c>
      <c r="G54" s="38" t="s">
        <v>608</v>
      </c>
      <c r="H54" s="38">
        <v>51</v>
      </c>
      <c r="I54" s="38">
        <v>3</v>
      </c>
      <c r="J54" s="38" t="s">
        <v>609</v>
      </c>
      <c r="K54" s="38">
        <v>62</v>
      </c>
      <c r="L54" s="60" t="s">
        <v>672</v>
      </c>
      <c r="M54" s="51" t="s">
        <v>676</v>
      </c>
      <c r="N54" s="57" t="s">
        <v>652</v>
      </c>
      <c r="O54" s="55">
        <v>2315</v>
      </c>
      <c r="P54" s="38"/>
    </row>
    <row r="55" spans="1:16" hidden="1">
      <c r="A55" s="38" t="s">
        <v>603</v>
      </c>
      <c r="B55" s="38" t="s">
        <v>604</v>
      </c>
      <c r="C55" s="38" t="s">
        <v>636</v>
      </c>
      <c r="D55" s="40" t="s">
        <v>637</v>
      </c>
      <c r="E55" s="38">
        <v>2021</v>
      </c>
      <c r="F55" s="40" t="s">
        <v>653</v>
      </c>
      <c r="G55" s="38" t="s">
        <v>608</v>
      </c>
      <c r="H55" s="38">
        <v>51</v>
      </c>
      <c r="I55" s="38">
        <v>3</v>
      </c>
      <c r="J55" s="38" t="s">
        <v>609</v>
      </c>
      <c r="K55" s="38">
        <v>70</v>
      </c>
      <c r="L55" s="57" t="s">
        <v>654</v>
      </c>
      <c r="M55" s="55">
        <v>2414</v>
      </c>
      <c r="N55" s="57" t="s">
        <v>655</v>
      </c>
      <c r="O55" s="55">
        <v>2414</v>
      </c>
      <c r="P55" s="38"/>
    </row>
    <row r="56" spans="1:16">
      <c r="A56" s="46" t="s">
        <v>603</v>
      </c>
      <c r="B56" s="46" t="s">
        <v>604</v>
      </c>
      <c r="C56" s="46" t="s">
        <v>626</v>
      </c>
      <c r="D56" s="46" t="s">
        <v>606</v>
      </c>
      <c r="E56" s="46">
        <v>2021</v>
      </c>
      <c r="F56" s="47" t="s">
        <v>656</v>
      </c>
      <c r="G56" s="46" t="s">
        <v>608</v>
      </c>
      <c r="H56" s="46">
        <v>51</v>
      </c>
      <c r="I56" s="46">
        <v>3</v>
      </c>
      <c r="J56" s="46" t="s">
        <v>609</v>
      </c>
      <c r="K56" s="46">
        <v>70</v>
      </c>
      <c r="L56" s="61" t="s">
        <v>657</v>
      </c>
      <c r="M56" s="56">
        <v>2415</v>
      </c>
      <c r="N56" s="61" t="s">
        <v>655</v>
      </c>
      <c r="O56" s="56">
        <v>2415</v>
      </c>
      <c r="P56" s="46"/>
    </row>
    <row r="57" spans="1:16" hidden="1">
      <c r="A57" s="38" t="s">
        <v>603</v>
      </c>
      <c r="B57" s="38" t="s">
        <v>658</v>
      </c>
      <c r="C57" s="38" t="s">
        <v>659</v>
      </c>
      <c r="D57" s="38" t="s">
        <v>660</v>
      </c>
      <c r="E57" s="38">
        <v>2021</v>
      </c>
      <c r="F57" s="40" t="s">
        <v>661</v>
      </c>
      <c r="G57" s="38" t="s">
        <v>608</v>
      </c>
      <c r="H57" s="38">
        <v>51</v>
      </c>
      <c r="I57" s="38">
        <v>3</v>
      </c>
      <c r="J57" s="38" t="s">
        <v>609</v>
      </c>
      <c r="K57" s="38">
        <v>70</v>
      </c>
      <c r="L57" s="40" t="s">
        <v>662</v>
      </c>
      <c r="M57" s="55">
        <v>2314</v>
      </c>
      <c r="N57" s="57"/>
      <c r="O57" s="38"/>
      <c r="P57" s="38"/>
    </row>
    <row r="58" spans="1:16" hidden="1">
      <c r="A58" s="38" t="s">
        <v>603</v>
      </c>
      <c r="B58" s="38" t="s">
        <v>604</v>
      </c>
      <c r="C58" s="38" t="s">
        <v>663</v>
      </c>
      <c r="D58" s="38"/>
      <c r="E58" s="38">
        <v>2021</v>
      </c>
      <c r="F58" s="40" t="s">
        <v>664</v>
      </c>
      <c r="G58" s="38" t="s">
        <v>608</v>
      </c>
      <c r="H58" s="38">
        <v>51</v>
      </c>
      <c r="I58" s="38">
        <v>3</v>
      </c>
      <c r="J58" s="38" t="s">
        <v>609</v>
      </c>
      <c r="K58" s="38">
        <v>70</v>
      </c>
      <c r="L58" s="40" t="s">
        <v>665</v>
      </c>
      <c r="M58" s="55">
        <v>2314</v>
      </c>
      <c r="N58" s="57"/>
      <c r="O58" s="38"/>
      <c r="P58" s="38"/>
    </row>
    <row r="59" spans="1:16" hidden="1">
      <c r="A59" s="38" t="s">
        <v>603</v>
      </c>
      <c r="B59" s="38" t="s">
        <v>604</v>
      </c>
      <c r="C59" s="38" t="s">
        <v>666</v>
      </c>
      <c r="D59" s="38" t="s">
        <v>616</v>
      </c>
      <c r="E59" s="38">
        <v>2021</v>
      </c>
      <c r="F59" s="44" t="s">
        <v>667</v>
      </c>
      <c r="G59" s="38" t="s">
        <v>608</v>
      </c>
      <c r="H59" s="38">
        <v>51</v>
      </c>
      <c r="I59" s="38">
        <v>3</v>
      </c>
      <c r="J59" s="38" t="s">
        <v>609</v>
      </c>
      <c r="K59" s="38">
        <v>59</v>
      </c>
      <c r="L59" s="40" t="s">
        <v>657</v>
      </c>
      <c r="M59" s="55">
        <v>2214</v>
      </c>
      <c r="N59" s="57" t="s">
        <v>655</v>
      </c>
      <c r="O59" s="38">
        <v>2214</v>
      </c>
      <c r="P59" s="38"/>
    </row>
    <row r="60" spans="1:16" hidden="1">
      <c r="A60" s="38" t="s">
        <v>603</v>
      </c>
      <c r="B60" s="38" t="s">
        <v>658</v>
      </c>
      <c r="C60" s="38" t="s">
        <v>668</v>
      </c>
      <c r="D60" s="38" t="s">
        <v>660</v>
      </c>
      <c r="E60" s="38">
        <v>2021</v>
      </c>
      <c r="F60" s="45" t="s">
        <v>669</v>
      </c>
      <c r="G60" s="38" t="s">
        <v>608</v>
      </c>
      <c r="H60" s="38">
        <v>51</v>
      </c>
      <c r="I60" s="38">
        <v>3</v>
      </c>
      <c r="J60" s="38" t="s">
        <v>609</v>
      </c>
      <c r="K60" s="38">
        <v>59</v>
      </c>
      <c r="L60" s="43" t="s">
        <v>677</v>
      </c>
      <c r="M60" s="51" t="s">
        <v>678</v>
      </c>
      <c r="N60" s="57"/>
      <c r="O60" s="38"/>
      <c r="P60" s="38"/>
    </row>
    <row r="61" spans="1:16">
      <c r="A61" s="91" t="s">
        <v>717</v>
      </c>
      <c r="B61" s="91"/>
      <c r="C61" s="91"/>
      <c r="D61" s="91"/>
      <c r="E61" s="91"/>
      <c r="F61" s="91"/>
      <c r="G61" s="91"/>
      <c r="H61" s="91"/>
      <c r="I61" s="91"/>
      <c r="J61" s="91"/>
      <c r="K61" s="91"/>
      <c r="L61" s="91"/>
      <c r="M61" s="91"/>
      <c r="N61" s="91"/>
      <c r="O61" s="91"/>
      <c r="P61" s="91"/>
    </row>
  </sheetData>
  <sheetProtection selectLockedCells="1" selectUnlockedCells="1"/>
  <mergeCells count="26">
    <mergeCell ref="K20:L20"/>
    <mergeCell ref="G21:J21"/>
    <mergeCell ref="K21:L21"/>
    <mergeCell ref="G22:J22"/>
    <mergeCell ref="K22:M22"/>
    <mergeCell ref="B27:C27"/>
    <mergeCell ref="E27:F27"/>
    <mergeCell ref="G27:H27"/>
    <mergeCell ref="I27:J27"/>
    <mergeCell ref="K27:L27"/>
    <mergeCell ref="A61:P61"/>
    <mergeCell ref="C2:C6"/>
    <mergeCell ref="D2:D6"/>
    <mergeCell ref="D7:D10"/>
    <mergeCell ref="A37:P37"/>
    <mergeCell ref="B47:B48"/>
    <mergeCell ref="C47:C48"/>
    <mergeCell ref="D47:D48"/>
    <mergeCell ref="L47:L48"/>
    <mergeCell ref="M47:M48"/>
    <mergeCell ref="N47:N48"/>
    <mergeCell ref="O47:O48"/>
    <mergeCell ref="A17:M18"/>
    <mergeCell ref="K23:M23"/>
    <mergeCell ref="E24:F24"/>
    <mergeCell ref="G24:J24"/>
  </mergeCells>
  <phoneticPr fontId="1"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14417-4408-417C-BB24-216E881C2950}">
  <sheetPr>
    <tabColor theme="9" tint="-0.249977111117893"/>
  </sheetPr>
  <dimension ref="A1:N37"/>
  <sheetViews>
    <sheetView workbookViewId="0">
      <selection activeCell="G22" sqref="G22"/>
    </sheetView>
  </sheetViews>
  <sheetFormatPr defaultRowHeight="14.25"/>
  <cols>
    <col min="1" max="1" width="33.625" bestFit="1" customWidth="1"/>
    <col min="2" max="2" width="5.5" bestFit="1" customWidth="1"/>
    <col min="3" max="3" width="7.5" bestFit="1" customWidth="1"/>
    <col min="4" max="6" width="9.5" bestFit="1" customWidth="1"/>
    <col min="7" max="7" width="16.125" bestFit="1" customWidth="1"/>
    <col min="8" max="8" width="11.625" bestFit="1" customWidth="1"/>
    <col min="10" max="10" width="16.5" bestFit="1" customWidth="1"/>
    <col min="11" max="11" width="9.75" bestFit="1" customWidth="1"/>
    <col min="12" max="13" width="5.5" bestFit="1" customWidth="1"/>
    <col min="14" max="14" width="6" bestFit="1" customWidth="1"/>
    <col min="15" max="15" width="16.5" bestFit="1" customWidth="1"/>
    <col min="16" max="16" width="18.75" bestFit="1" customWidth="1"/>
    <col min="17" max="17" width="21" bestFit="1" customWidth="1"/>
    <col min="18" max="18" width="23.125" bestFit="1" customWidth="1"/>
  </cols>
  <sheetData>
    <row r="1" spans="1:8">
      <c r="A1" t="s">
        <v>152</v>
      </c>
      <c r="B1" t="s">
        <v>168</v>
      </c>
      <c r="C1" t="s">
        <v>169</v>
      </c>
      <c r="D1" t="s">
        <v>170</v>
      </c>
      <c r="E1" t="s">
        <v>171</v>
      </c>
      <c r="F1" t="s">
        <v>172</v>
      </c>
      <c r="G1" t="s">
        <v>173</v>
      </c>
      <c r="H1" t="s">
        <v>174</v>
      </c>
    </row>
    <row r="2" spans="1:8">
      <c r="A2" t="s">
        <v>153</v>
      </c>
      <c r="B2">
        <v>1</v>
      </c>
      <c r="C2" t="s">
        <v>160</v>
      </c>
      <c r="D2" t="s">
        <v>175</v>
      </c>
      <c r="E2" t="s">
        <v>176</v>
      </c>
      <c r="F2">
        <v>89</v>
      </c>
      <c r="G2">
        <v>12.282</v>
      </c>
      <c r="H2">
        <v>26</v>
      </c>
    </row>
    <row r="3" spans="1:8">
      <c r="A3" t="s">
        <v>154</v>
      </c>
      <c r="B3">
        <v>1</v>
      </c>
      <c r="C3" t="s">
        <v>161</v>
      </c>
      <c r="D3" t="s">
        <v>177</v>
      </c>
      <c r="E3" t="s">
        <v>178</v>
      </c>
      <c r="F3">
        <v>89</v>
      </c>
      <c r="G3">
        <v>20.826000000000001</v>
      </c>
      <c r="H3">
        <v>9</v>
      </c>
    </row>
    <row r="4" spans="1:8">
      <c r="A4" t="s">
        <v>155</v>
      </c>
      <c r="B4">
        <v>1</v>
      </c>
      <c r="C4" t="s">
        <v>162</v>
      </c>
      <c r="D4" t="s">
        <v>175</v>
      </c>
      <c r="E4" t="s">
        <v>176</v>
      </c>
      <c r="F4">
        <v>89</v>
      </c>
      <c r="G4">
        <v>12.282</v>
      </c>
      <c r="H4">
        <v>26</v>
      </c>
    </row>
    <row r="5" spans="1:8">
      <c r="A5" t="s">
        <v>156</v>
      </c>
      <c r="B5">
        <v>1</v>
      </c>
      <c r="C5" t="s">
        <v>163</v>
      </c>
      <c r="D5" t="s">
        <v>177</v>
      </c>
      <c r="E5" t="s">
        <v>178</v>
      </c>
      <c r="F5">
        <v>86</v>
      </c>
      <c r="G5">
        <v>20.123999999999999</v>
      </c>
      <c r="H5">
        <v>10</v>
      </c>
    </row>
    <row r="6" spans="1:8">
      <c r="A6" t="s">
        <v>157</v>
      </c>
      <c r="B6">
        <v>1</v>
      </c>
      <c r="C6" t="s">
        <v>179</v>
      </c>
      <c r="D6" t="s">
        <v>180</v>
      </c>
      <c r="E6" t="s">
        <v>181</v>
      </c>
      <c r="F6">
        <v>86</v>
      </c>
      <c r="G6">
        <v>38.356000000000002</v>
      </c>
      <c r="H6">
        <v>1</v>
      </c>
    </row>
    <row r="7" spans="1:8">
      <c r="A7" t="s">
        <v>158</v>
      </c>
      <c r="B7">
        <v>3</v>
      </c>
      <c r="C7" t="s">
        <v>164</v>
      </c>
      <c r="D7" t="s">
        <v>175</v>
      </c>
      <c r="E7" t="s">
        <v>176</v>
      </c>
      <c r="F7">
        <v>86</v>
      </c>
      <c r="G7">
        <v>30.443999999999999</v>
      </c>
      <c r="H7">
        <v>4</v>
      </c>
    </row>
    <row r="8" spans="1:8">
      <c r="B8">
        <v>3</v>
      </c>
      <c r="C8" t="s">
        <v>160</v>
      </c>
      <c r="D8" t="s">
        <v>175</v>
      </c>
      <c r="E8" t="s">
        <v>176</v>
      </c>
      <c r="F8">
        <v>84</v>
      </c>
      <c r="G8">
        <v>11.592000000000001</v>
      </c>
      <c r="H8">
        <v>28</v>
      </c>
    </row>
    <row r="9" spans="1:8">
      <c r="A9" t="s">
        <v>189</v>
      </c>
      <c r="B9">
        <v>2</v>
      </c>
      <c r="C9" t="s">
        <v>165</v>
      </c>
      <c r="D9" t="s">
        <v>175</v>
      </c>
      <c r="E9" t="s">
        <v>176</v>
      </c>
      <c r="F9">
        <v>79</v>
      </c>
      <c r="G9">
        <v>27.966000000000001</v>
      </c>
      <c r="H9">
        <v>6</v>
      </c>
    </row>
    <row r="10" spans="1:8">
      <c r="A10" t="s">
        <v>190</v>
      </c>
      <c r="B10">
        <v>3</v>
      </c>
      <c r="C10" t="s">
        <v>182</v>
      </c>
      <c r="D10" t="s">
        <v>180</v>
      </c>
      <c r="E10" t="s">
        <v>181</v>
      </c>
      <c r="F10">
        <v>78</v>
      </c>
      <c r="G10">
        <v>34.787999999999997</v>
      </c>
      <c r="H10">
        <v>2</v>
      </c>
    </row>
    <row r="11" spans="1:8">
      <c r="A11" t="s">
        <v>191</v>
      </c>
      <c r="B11">
        <v>3</v>
      </c>
      <c r="C11" t="s">
        <v>161</v>
      </c>
      <c r="D11" t="s">
        <v>177</v>
      </c>
      <c r="E11" t="s">
        <v>178</v>
      </c>
      <c r="F11">
        <v>75</v>
      </c>
      <c r="G11">
        <v>17.55</v>
      </c>
      <c r="H11">
        <v>18</v>
      </c>
    </row>
    <row r="12" spans="1:8">
      <c r="A12" t="s">
        <v>192</v>
      </c>
      <c r="B12">
        <v>2</v>
      </c>
      <c r="C12" t="s">
        <v>179</v>
      </c>
      <c r="D12" t="s">
        <v>180</v>
      </c>
      <c r="E12" t="s">
        <v>181</v>
      </c>
      <c r="F12">
        <v>73</v>
      </c>
      <c r="G12">
        <v>32.558</v>
      </c>
      <c r="H12">
        <v>3</v>
      </c>
    </row>
    <row r="13" spans="1:8">
      <c r="B13">
        <v>2</v>
      </c>
      <c r="C13" t="s">
        <v>166</v>
      </c>
      <c r="D13" t="s">
        <v>177</v>
      </c>
      <c r="E13" t="s">
        <v>178</v>
      </c>
      <c r="F13">
        <v>69</v>
      </c>
      <c r="G13">
        <v>22.149000000000001</v>
      </c>
      <c r="H13">
        <v>8</v>
      </c>
    </row>
    <row r="14" spans="1:8">
      <c r="B14">
        <v>1</v>
      </c>
      <c r="C14" t="s">
        <v>183</v>
      </c>
      <c r="D14" t="s">
        <v>180</v>
      </c>
      <c r="E14" t="s">
        <v>181</v>
      </c>
      <c r="F14">
        <v>67</v>
      </c>
      <c r="G14">
        <v>18.425000000000001</v>
      </c>
      <c r="H14">
        <v>14</v>
      </c>
    </row>
    <row r="15" spans="1:8">
      <c r="B15">
        <v>3</v>
      </c>
      <c r="C15" t="s">
        <v>183</v>
      </c>
      <c r="D15" t="s">
        <v>180</v>
      </c>
      <c r="E15" t="s">
        <v>181</v>
      </c>
      <c r="F15">
        <v>66</v>
      </c>
      <c r="G15">
        <v>18.149999999999999</v>
      </c>
      <c r="H15">
        <v>16</v>
      </c>
    </row>
    <row r="16" spans="1:8">
      <c r="B16">
        <v>2</v>
      </c>
      <c r="C16" t="s">
        <v>163</v>
      </c>
      <c r="D16" t="s">
        <v>177</v>
      </c>
      <c r="E16" t="s">
        <v>178</v>
      </c>
      <c r="F16">
        <v>65</v>
      </c>
      <c r="G16">
        <v>15.21</v>
      </c>
      <c r="H16">
        <v>23</v>
      </c>
    </row>
    <row r="17" spans="2:14">
      <c r="B17">
        <v>1</v>
      </c>
      <c r="C17" t="s">
        <v>184</v>
      </c>
      <c r="D17" t="s">
        <v>180</v>
      </c>
      <c r="E17" t="s">
        <v>181</v>
      </c>
      <c r="F17">
        <v>64</v>
      </c>
      <c r="G17">
        <v>17.600000000000001</v>
      </c>
      <c r="H17">
        <v>17</v>
      </c>
    </row>
    <row r="18" spans="2:14">
      <c r="B18">
        <v>3</v>
      </c>
      <c r="C18" t="s">
        <v>179</v>
      </c>
      <c r="D18" t="s">
        <v>180</v>
      </c>
      <c r="E18" t="s">
        <v>181</v>
      </c>
      <c r="F18">
        <v>64</v>
      </c>
      <c r="G18">
        <v>28.544</v>
      </c>
      <c r="H18">
        <v>5</v>
      </c>
    </row>
    <row r="19" spans="2:14">
      <c r="B19">
        <v>2</v>
      </c>
      <c r="C19" t="s">
        <v>164</v>
      </c>
      <c r="D19" t="s">
        <v>175</v>
      </c>
      <c r="E19" t="s">
        <v>176</v>
      </c>
      <c r="F19">
        <v>63</v>
      </c>
      <c r="G19">
        <v>22.302</v>
      </c>
      <c r="H19">
        <v>7</v>
      </c>
    </row>
    <row r="20" spans="2:14">
      <c r="B20">
        <v>1</v>
      </c>
      <c r="C20" t="s">
        <v>166</v>
      </c>
      <c r="D20" t="s">
        <v>177</v>
      </c>
      <c r="E20" t="s">
        <v>178</v>
      </c>
      <c r="F20">
        <v>58</v>
      </c>
      <c r="G20">
        <v>18.617999999999999</v>
      </c>
      <c r="H20">
        <v>13</v>
      </c>
    </row>
    <row r="21" spans="2:14">
      <c r="B21">
        <v>3</v>
      </c>
      <c r="C21" t="s">
        <v>166</v>
      </c>
      <c r="D21" t="s">
        <v>177</v>
      </c>
      <c r="E21" t="s">
        <v>178</v>
      </c>
      <c r="F21">
        <v>57</v>
      </c>
      <c r="G21">
        <v>18.297000000000001</v>
      </c>
      <c r="H21">
        <v>15</v>
      </c>
      <c r="J21" s="8" t="s">
        <v>187</v>
      </c>
      <c r="K21" s="8" t="s">
        <v>188</v>
      </c>
    </row>
    <row r="22" spans="2:14">
      <c r="B22">
        <v>2</v>
      </c>
      <c r="C22" t="s">
        <v>183</v>
      </c>
      <c r="D22" t="s">
        <v>180</v>
      </c>
      <c r="E22" t="s">
        <v>181</v>
      </c>
      <c r="F22">
        <v>56</v>
      </c>
      <c r="G22">
        <v>15.4</v>
      </c>
      <c r="H22">
        <v>22</v>
      </c>
      <c r="J22" s="8" t="s">
        <v>185</v>
      </c>
      <c r="K22" t="s">
        <v>178</v>
      </c>
      <c r="L22" t="s">
        <v>181</v>
      </c>
      <c r="M22" t="s">
        <v>176</v>
      </c>
      <c r="N22" t="s">
        <v>186</v>
      </c>
    </row>
    <row r="23" spans="2:14">
      <c r="B23">
        <v>2</v>
      </c>
      <c r="C23" t="s">
        <v>160</v>
      </c>
      <c r="D23" t="s">
        <v>175</v>
      </c>
      <c r="E23" t="s">
        <v>176</v>
      </c>
      <c r="F23">
        <v>56</v>
      </c>
      <c r="G23">
        <v>7.7279999999999998</v>
      </c>
      <c r="H23">
        <v>33</v>
      </c>
      <c r="J23" s="3" t="s">
        <v>179</v>
      </c>
      <c r="L23">
        <v>223</v>
      </c>
      <c r="N23">
        <v>223</v>
      </c>
    </row>
    <row r="24" spans="2:14">
      <c r="B24">
        <v>1</v>
      </c>
      <c r="C24" t="s">
        <v>164</v>
      </c>
      <c r="D24" t="s">
        <v>175</v>
      </c>
      <c r="E24" t="s">
        <v>176</v>
      </c>
      <c r="F24">
        <v>54</v>
      </c>
      <c r="G24">
        <v>19.116</v>
      </c>
      <c r="H24">
        <v>11</v>
      </c>
      <c r="J24" s="3" t="s">
        <v>162</v>
      </c>
      <c r="M24">
        <v>179</v>
      </c>
      <c r="N24">
        <v>179</v>
      </c>
    </row>
    <row r="25" spans="2:14">
      <c r="B25">
        <v>3</v>
      </c>
      <c r="C25" t="s">
        <v>167</v>
      </c>
      <c r="D25" t="s">
        <v>177</v>
      </c>
      <c r="E25" t="s">
        <v>178</v>
      </c>
      <c r="F25">
        <v>54</v>
      </c>
      <c r="G25">
        <v>17.334</v>
      </c>
      <c r="H25">
        <v>19</v>
      </c>
      <c r="J25" s="3" t="s">
        <v>167</v>
      </c>
      <c r="K25">
        <v>145</v>
      </c>
      <c r="N25">
        <v>145</v>
      </c>
    </row>
    <row r="26" spans="2:14">
      <c r="B26">
        <v>3</v>
      </c>
      <c r="C26" t="s">
        <v>162</v>
      </c>
      <c r="D26" t="s">
        <v>175</v>
      </c>
      <c r="E26" t="s">
        <v>176</v>
      </c>
      <c r="F26">
        <v>53</v>
      </c>
      <c r="G26">
        <v>7.3140000000000001</v>
      </c>
      <c r="H26">
        <v>35</v>
      </c>
      <c r="J26" s="3" t="s">
        <v>183</v>
      </c>
      <c r="L26">
        <v>189</v>
      </c>
      <c r="N26">
        <v>189</v>
      </c>
    </row>
    <row r="27" spans="2:14">
      <c r="B27">
        <v>2</v>
      </c>
      <c r="C27" t="s">
        <v>167</v>
      </c>
      <c r="D27" t="s">
        <v>177</v>
      </c>
      <c r="E27" t="s">
        <v>178</v>
      </c>
      <c r="F27">
        <v>48</v>
      </c>
      <c r="G27">
        <v>15.407999999999999</v>
      </c>
      <c r="H27">
        <v>21</v>
      </c>
      <c r="J27" s="3" t="s">
        <v>165</v>
      </c>
      <c r="M27">
        <v>148</v>
      </c>
      <c r="N27">
        <v>148</v>
      </c>
    </row>
    <row r="28" spans="2:14">
      <c r="B28">
        <v>3</v>
      </c>
      <c r="C28" t="s">
        <v>184</v>
      </c>
      <c r="D28" t="s">
        <v>180</v>
      </c>
      <c r="E28" t="s">
        <v>181</v>
      </c>
      <c r="F28">
        <v>46</v>
      </c>
      <c r="G28">
        <v>12.65</v>
      </c>
      <c r="H28">
        <v>25</v>
      </c>
      <c r="J28" s="3" t="s">
        <v>163</v>
      </c>
      <c r="K28">
        <v>190</v>
      </c>
      <c r="N28">
        <v>190</v>
      </c>
    </row>
    <row r="29" spans="2:14">
      <c r="B29">
        <v>2</v>
      </c>
      <c r="C29" t="s">
        <v>161</v>
      </c>
      <c r="D29" t="s">
        <v>177</v>
      </c>
      <c r="E29" t="s">
        <v>178</v>
      </c>
      <c r="F29">
        <v>45</v>
      </c>
      <c r="G29">
        <v>10.53</v>
      </c>
      <c r="H29">
        <v>29</v>
      </c>
      <c r="J29" s="3" t="s">
        <v>184</v>
      </c>
      <c r="L29">
        <v>137</v>
      </c>
      <c r="N29">
        <v>137</v>
      </c>
    </row>
    <row r="30" spans="2:14">
      <c r="B30">
        <v>3</v>
      </c>
      <c r="C30" t="s">
        <v>165</v>
      </c>
      <c r="D30" t="s">
        <v>175</v>
      </c>
      <c r="E30" t="s">
        <v>176</v>
      </c>
      <c r="F30">
        <v>45</v>
      </c>
      <c r="G30">
        <v>15.93</v>
      </c>
      <c r="H30">
        <v>20</v>
      </c>
      <c r="J30" s="3" t="s">
        <v>164</v>
      </c>
      <c r="M30">
        <v>203</v>
      </c>
      <c r="N30">
        <v>203</v>
      </c>
    </row>
    <row r="31" spans="2:14">
      <c r="B31">
        <v>1</v>
      </c>
      <c r="C31" t="s">
        <v>167</v>
      </c>
      <c r="D31" t="s">
        <v>177</v>
      </c>
      <c r="E31" t="s">
        <v>178</v>
      </c>
      <c r="F31">
        <v>43</v>
      </c>
      <c r="G31">
        <v>13.803000000000001</v>
      </c>
      <c r="H31">
        <v>24</v>
      </c>
      <c r="J31" s="3" t="s">
        <v>161</v>
      </c>
      <c r="K31">
        <v>209</v>
      </c>
      <c r="N31">
        <v>209</v>
      </c>
    </row>
    <row r="32" spans="2:14">
      <c r="B32">
        <v>2</v>
      </c>
      <c r="C32" t="s">
        <v>182</v>
      </c>
      <c r="D32" t="s">
        <v>180</v>
      </c>
      <c r="E32" t="s">
        <v>181</v>
      </c>
      <c r="F32">
        <v>42</v>
      </c>
      <c r="G32">
        <v>18.731999999999999</v>
      </c>
      <c r="H32">
        <v>12</v>
      </c>
      <c r="J32" s="3" t="s">
        <v>182</v>
      </c>
      <c r="L32">
        <v>141</v>
      </c>
      <c r="N32">
        <v>141</v>
      </c>
    </row>
    <row r="33" spans="2:14">
      <c r="B33">
        <v>3</v>
      </c>
      <c r="C33" t="s">
        <v>163</v>
      </c>
      <c r="D33" t="s">
        <v>177</v>
      </c>
      <c r="E33" t="s">
        <v>178</v>
      </c>
      <c r="F33">
        <v>39</v>
      </c>
      <c r="G33">
        <v>9.1259999999999994</v>
      </c>
      <c r="H33">
        <v>31</v>
      </c>
      <c r="J33" s="3" t="s">
        <v>160</v>
      </c>
      <c r="M33">
        <v>229</v>
      </c>
      <c r="N33">
        <v>229</v>
      </c>
    </row>
    <row r="34" spans="2:14">
      <c r="B34">
        <v>2</v>
      </c>
      <c r="C34" t="s">
        <v>162</v>
      </c>
      <c r="D34" t="s">
        <v>175</v>
      </c>
      <c r="E34" t="s">
        <v>176</v>
      </c>
      <c r="F34">
        <v>37</v>
      </c>
      <c r="G34">
        <v>5.1059999999999999</v>
      </c>
      <c r="H34">
        <v>36</v>
      </c>
      <c r="J34" s="3" t="s">
        <v>166</v>
      </c>
      <c r="K34">
        <v>184</v>
      </c>
      <c r="N34">
        <v>184</v>
      </c>
    </row>
    <row r="35" spans="2:14">
      <c r="B35">
        <v>2</v>
      </c>
      <c r="C35" t="s">
        <v>184</v>
      </c>
      <c r="D35" t="s">
        <v>180</v>
      </c>
      <c r="E35" t="s">
        <v>181</v>
      </c>
      <c r="F35">
        <v>27</v>
      </c>
      <c r="G35">
        <v>7.4249999999999998</v>
      </c>
      <c r="H35">
        <v>34</v>
      </c>
      <c r="J35" s="3" t="s">
        <v>186</v>
      </c>
      <c r="K35">
        <v>728</v>
      </c>
      <c r="L35">
        <v>690</v>
      </c>
      <c r="M35">
        <v>759</v>
      </c>
      <c r="N35">
        <v>2177</v>
      </c>
    </row>
    <row r="36" spans="2:14">
      <c r="B36">
        <v>1</v>
      </c>
      <c r="C36" t="s">
        <v>165</v>
      </c>
      <c r="D36" t="s">
        <v>175</v>
      </c>
      <c r="E36" t="s">
        <v>176</v>
      </c>
      <c r="F36">
        <v>24</v>
      </c>
      <c r="G36">
        <v>8.4960000000000004</v>
      </c>
      <c r="H36">
        <v>32</v>
      </c>
    </row>
    <row r="37" spans="2:14">
      <c r="B37">
        <v>1</v>
      </c>
      <c r="C37" t="s">
        <v>182</v>
      </c>
      <c r="D37" t="s">
        <v>180</v>
      </c>
      <c r="E37" t="s">
        <v>181</v>
      </c>
      <c r="F37">
        <v>21</v>
      </c>
      <c r="G37">
        <v>9.3659999999999997</v>
      </c>
      <c r="H37">
        <v>30</v>
      </c>
    </row>
  </sheetData>
  <phoneticPr fontId="1" type="noConversion"/>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C6464-99A8-4AD5-B9F0-AB890D16B270}">
  <sheetPr>
    <tabColor theme="7" tint="0.59999389629810485"/>
  </sheetPr>
  <dimension ref="A1:M21"/>
  <sheetViews>
    <sheetView workbookViewId="0">
      <selection activeCell="G22" sqref="G22"/>
    </sheetView>
  </sheetViews>
  <sheetFormatPr defaultRowHeight="14.25"/>
  <cols>
    <col min="1" max="1" width="8.875"/>
  </cols>
  <sheetData>
    <row r="1" spans="1:13">
      <c r="A1" t="s">
        <v>218</v>
      </c>
      <c r="B1" t="s">
        <v>198</v>
      </c>
      <c r="C1" t="s">
        <v>199</v>
      </c>
      <c r="D1" t="s">
        <v>200</v>
      </c>
      <c r="E1" t="s">
        <v>201</v>
      </c>
      <c r="F1" t="s">
        <v>202</v>
      </c>
      <c r="G1" t="s">
        <v>203</v>
      </c>
      <c r="H1" t="s">
        <v>204</v>
      </c>
      <c r="I1" t="s">
        <v>205</v>
      </c>
      <c r="J1" t="s">
        <v>206</v>
      </c>
      <c r="K1" t="s">
        <v>207</v>
      </c>
      <c r="L1" t="s">
        <v>208</v>
      </c>
      <c r="M1" t="s">
        <v>209</v>
      </c>
    </row>
    <row r="2" spans="1:13">
      <c r="A2" t="s">
        <v>210</v>
      </c>
      <c r="B2">
        <v>23</v>
      </c>
      <c r="C2">
        <v>12</v>
      </c>
      <c r="D2">
        <v>23</v>
      </c>
      <c r="E2">
        <v>34</v>
      </c>
      <c r="F2">
        <v>56</v>
      </c>
      <c r="G2">
        <v>7</v>
      </c>
      <c r="H2">
        <v>3</v>
      </c>
      <c r="I2">
        <v>23</v>
      </c>
      <c r="J2">
        <v>52</v>
      </c>
      <c r="K2">
        <v>12</v>
      </c>
      <c r="L2">
        <v>56</v>
      </c>
      <c r="M2">
        <v>34</v>
      </c>
    </row>
    <row r="3" spans="1:13">
      <c r="A3" t="s">
        <v>211</v>
      </c>
      <c r="B3">
        <v>34</v>
      </c>
      <c r="C3">
        <v>7</v>
      </c>
      <c r="D3">
        <v>52</v>
      </c>
      <c r="E3">
        <v>12</v>
      </c>
      <c r="F3">
        <v>56</v>
      </c>
      <c r="G3">
        <v>34</v>
      </c>
      <c r="H3">
        <v>23</v>
      </c>
      <c r="I3">
        <v>34</v>
      </c>
      <c r="J3">
        <v>56</v>
      </c>
      <c r="K3">
        <v>7</v>
      </c>
      <c r="L3">
        <v>3</v>
      </c>
      <c r="M3">
        <v>23</v>
      </c>
    </row>
    <row r="4" spans="1:13">
      <c r="A4" t="s">
        <v>212</v>
      </c>
      <c r="B4">
        <v>7</v>
      </c>
      <c r="C4">
        <v>3</v>
      </c>
      <c r="D4">
        <v>56</v>
      </c>
      <c r="E4">
        <v>7</v>
      </c>
      <c r="F4">
        <v>3</v>
      </c>
      <c r="G4">
        <v>23</v>
      </c>
      <c r="H4">
        <v>12</v>
      </c>
      <c r="I4">
        <v>56</v>
      </c>
      <c r="J4">
        <v>34</v>
      </c>
      <c r="K4">
        <v>23</v>
      </c>
      <c r="L4">
        <v>34</v>
      </c>
      <c r="M4">
        <v>23</v>
      </c>
    </row>
    <row r="5" spans="1:13">
      <c r="A5" t="s">
        <v>213</v>
      </c>
      <c r="B5">
        <v>7</v>
      </c>
      <c r="C5">
        <v>3</v>
      </c>
      <c r="D5">
        <v>23</v>
      </c>
      <c r="E5">
        <v>34</v>
      </c>
      <c r="F5">
        <v>23</v>
      </c>
      <c r="G5">
        <v>34</v>
      </c>
      <c r="H5">
        <v>7</v>
      </c>
      <c r="I5">
        <v>3</v>
      </c>
      <c r="J5">
        <v>23</v>
      </c>
      <c r="K5">
        <v>12</v>
      </c>
      <c r="L5">
        <v>56</v>
      </c>
      <c r="M5">
        <v>23</v>
      </c>
    </row>
    <row r="6" spans="1:13">
      <c r="A6" t="s">
        <v>214</v>
      </c>
      <c r="B6">
        <v>34</v>
      </c>
      <c r="C6">
        <v>23</v>
      </c>
      <c r="D6">
        <v>34</v>
      </c>
      <c r="E6">
        <v>34</v>
      </c>
      <c r="F6">
        <v>56</v>
      </c>
      <c r="G6">
        <v>7</v>
      </c>
      <c r="H6">
        <v>3</v>
      </c>
      <c r="I6">
        <v>23</v>
      </c>
      <c r="J6">
        <v>12</v>
      </c>
      <c r="K6">
        <v>7</v>
      </c>
      <c r="L6">
        <v>3</v>
      </c>
      <c r="M6">
        <v>23</v>
      </c>
    </row>
    <row r="7" spans="1:13">
      <c r="A7" t="s">
        <v>215</v>
      </c>
      <c r="B7">
        <v>34</v>
      </c>
      <c r="C7">
        <v>56</v>
      </c>
      <c r="D7">
        <v>7</v>
      </c>
      <c r="E7">
        <v>23</v>
      </c>
      <c r="F7">
        <v>56</v>
      </c>
      <c r="G7">
        <v>34</v>
      </c>
      <c r="H7">
        <v>23</v>
      </c>
      <c r="I7">
        <v>34</v>
      </c>
      <c r="J7">
        <v>7</v>
      </c>
      <c r="K7">
        <v>3</v>
      </c>
      <c r="L7">
        <v>23</v>
      </c>
      <c r="M7">
        <v>23</v>
      </c>
    </row>
    <row r="8" spans="1:13">
      <c r="A8" t="s">
        <v>216</v>
      </c>
      <c r="B8">
        <v>23</v>
      </c>
      <c r="C8">
        <v>56</v>
      </c>
      <c r="D8">
        <v>34</v>
      </c>
      <c r="E8">
        <v>3</v>
      </c>
      <c r="F8">
        <v>12</v>
      </c>
      <c r="G8">
        <v>56</v>
      </c>
      <c r="H8">
        <v>34</v>
      </c>
      <c r="I8">
        <v>56</v>
      </c>
      <c r="J8">
        <v>34</v>
      </c>
      <c r="K8">
        <v>23</v>
      </c>
      <c r="L8">
        <v>34</v>
      </c>
      <c r="M8">
        <v>23</v>
      </c>
    </row>
    <row r="9" spans="1:13">
      <c r="A9" t="s">
        <v>217</v>
      </c>
      <c r="B9">
        <v>3</v>
      </c>
      <c r="C9">
        <v>12</v>
      </c>
      <c r="D9">
        <v>56</v>
      </c>
      <c r="E9">
        <v>23</v>
      </c>
      <c r="F9">
        <v>7</v>
      </c>
      <c r="G9">
        <v>3</v>
      </c>
      <c r="H9">
        <v>23</v>
      </c>
      <c r="I9">
        <v>56</v>
      </c>
      <c r="J9">
        <v>34</v>
      </c>
      <c r="K9">
        <v>56</v>
      </c>
      <c r="L9">
        <v>7</v>
      </c>
      <c r="M9">
        <v>23</v>
      </c>
    </row>
    <row r="14" spans="1:13">
      <c r="A14" t="s">
        <v>219</v>
      </c>
      <c r="B14" s="107" t="s">
        <v>221</v>
      </c>
      <c r="C14" s="107"/>
      <c r="D14" s="107"/>
      <c r="E14" s="107"/>
      <c r="F14" s="107"/>
      <c r="G14" s="107"/>
      <c r="H14" s="107"/>
      <c r="I14" s="107"/>
      <c r="J14" s="107"/>
      <c r="K14" s="107"/>
      <c r="L14" s="107"/>
      <c r="M14" s="107"/>
    </row>
    <row r="15" spans="1:13">
      <c r="A15" t="s">
        <v>220</v>
      </c>
      <c r="B15" s="107" t="s">
        <v>222</v>
      </c>
      <c r="C15" s="107"/>
      <c r="D15" s="107"/>
      <c r="E15" s="107"/>
      <c r="F15" s="107"/>
      <c r="G15" s="107"/>
      <c r="H15" s="107"/>
      <c r="I15" s="107"/>
      <c r="J15" s="107"/>
      <c r="K15" s="107"/>
      <c r="L15" s="107"/>
      <c r="M15" s="107"/>
    </row>
    <row r="16" spans="1:13">
      <c r="A16" t="s">
        <v>223</v>
      </c>
      <c r="B16" s="107" t="s">
        <v>225</v>
      </c>
      <c r="C16" s="107"/>
      <c r="D16" s="107"/>
      <c r="E16" s="107"/>
      <c r="F16" s="107"/>
      <c r="G16" s="107"/>
      <c r="H16" s="107"/>
      <c r="I16" s="107"/>
      <c r="J16" s="107"/>
      <c r="K16" s="107"/>
      <c r="L16" s="107"/>
      <c r="M16" s="107"/>
    </row>
    <row r="17" spans="1:13">
      <c r="A17" t="s">
        <v>224</v>
      </c>
      <c r="B17" s="107" t="s">
        <v>226</v>
      </c>
      <c r="C17" s="107"/>
      <c r="D17" s="107"/>
      <c r="E17" s="107"/>
      <c r="F17" s="107"/>
      <c r="G17" s="107"/>
      <c r="H17" s="107"/>
      <c r="I17" s="107"/>
      <c r="J17" s="107"/>
      <c r="K17" s="107"/>
      <c r="L17" s="107"/>
      <c r="M17" s="107"/>
    </row>
    <row r="18" spans="1:13">
      <c r="A18" t="s">
        <v>227</v>
      </c>
      <c r="B18" s="107" t="s">
        <v>228</v>
      </c>
      <c r="C18" s="107"/>
      <c r="D18" s="107"/>
      <c r="E18" s="107"/>
      <c r="F18" s="107"/>
      <c r="G18" s="107"/>
      <c r="H18" s="107"/>
      <c r="I18" s="107"/>
      <c r="J18" s="107"/>
      <c r="K18" s="107"/>
      <c r="L18" s="107"/>
      <c r="M18" s="107"/>
    </row>
    <row r="19" spans="1:13">
      <c r="A19" t="s">
        <v>229</v>
      </c>
      <c r="B19" s="107" t="s">
        <v>230</v>
      </c>
      <c r="C19" s="107"/>
      <c r="D19" s="107"/>
      <c r="E19" s="107"/>
      <c r="F19" s="107"/>
      <c r="G19" s="107"/>
      <c r="H19" s="107"/>
      <c r="I19" s="107"/>
      <c r="J19" s="107"/>
      <c r="K19" s="107"/>
      <c r="L19" s="107"/>
      <c r="M19" s="107"/>
    </row>
    <row r="20" spans="1:13">
      <c r="B20" s="107" t="s">
        <v>232</v>
      </c>
      <c r="C20" s="107"/>
      <c r="D20" s="107"/>
      <c r="E20" s="107"/>
      <c r="F20" s="107"/>
      <c r="G20" s="107"/>
      <c r="H20" s="107"/>
      <c r="I20" s="107"/>
      <c r="J20" s="107"/>
      <c r="K20" s="107"/>
      <c r="L20" s="107"/>
      <c r="M20" s="107"/>
    </row>
    <row r="21" spans="1:13">
      <c r="B21" s="107" t="s">
        <v>231</v>
      </c>
      <c r="C21" s="107"/>
      <c r="D21" s="107"/>
      <c r="E21" s="107"/>
      <c r="F21" s="107"/>
      <c r="G21" s="107"/>
      <c r="H21" s="107"/>
      <c r="I21" s="107"/>
      <c r="J21" s="107"/>
      <c r="K21" s="107"/>
      <c r="L21" s="107"/>
      <c r="M21" s="107"/>
    </row>
  </sheetData>
  <mergeCells count="8">
    <mergeCell ref="B19:M19"/>
    <mergeCell ref="B20:M20"/>
    <mergeCell ref="B21:M21"/>
    <mergeCell ref="B14:M14"/>
    <mergeCell ref="B15:M15"/>
    <mergeCell ref="B16:M16"/>
    <mergeCell ref="B17:M17"/>
    <mergeCell ref="B18:M18"/>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D1618C-080B-4CAB-B1B6-7193ACF94B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基本内容</vt:lpstr>
      <vt:lpstr>样式篇</vt:lpstr>
      <vt:lpstr>格式篇</vt:lpstr>
      <vt:lpstr>公式篇</vt:lpstr>
      <vt:lpstr>图表篇</vt:lpstr>
      <vt:lpstr>应用篇</vt:lpstr>
      <vt:lpstr>快捷键篇</vt:lpstr>
      <vt:lpstr>示例</vt:lpstr>
      <vt:lpstr>透视表</vt:lpstr>
      <vt:lpstr>切片器</vt:lpstr>
    </vt:vector>
  </TitlesOfParts>
  <Manager>PLA</Manager>
  <Company>54414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dc:title>
  <dc:creator>glplaman.github.io</dc:creator>
  <cp:lastModifiedBy>cn plaman</cp:lastModifiedBy>
  <cp:lastPrinted>2021-07-17T08:52:47Z</cp:lastPrinted>
  <dcterms:created xsi:type="dcterms:W3CDTF">2020-11-16T05:49:24Z</dcterms:created>
  <dcterms:modified xsi:type="dcterms:W3CDTF">2026-02-21T12:31:12Z</dcterms:modified>
</cp:coreProperties>
</file>