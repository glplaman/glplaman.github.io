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BBF21A86-A014-4C8A-9C79-719F378542DD}" xr6:coauthVersionLast="47" xr6:coauthVersionMax="47" xr10:uidLastSave="{00000000-0000-0000-0000-000000000000}"/>
  <bookViews>
    <workbookView xWindow="-120" yWindow="-120" windowWidth="29040" windowHeight="15720" xr2:uid="{C1D86DE0-A88D-486A-A312-07EB4B609A42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M38" i="1" l="1"/>
  <c r="Q58" i="1"/>
  <c r="Q59" i="1"/>
  <c r="Q5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6" i="1"/>
  <c r="M57" i="1"/>
  <c r="M58" i="1"/>
  <c r="M56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5" i="1"/>
  <c r="M36" i="1"/>
  <c r="M37" i="1"/>
  <c r="M39" i="1"/>
  <c r="M40" i="1"/>
  <c r="M41" i="1"/>
  <c r="M42" i="1"/>
  <c r="M43" i="1"/>
  <c r="M44" i="1"/>
  <c r="M45" i="1"/>
  <c r="M46" i="1"/>
  <c r="M47" i="1"/>
  <c r="M48" i="1"/>
  <c r="M49" i="1"/>
  <c r="M9" i="1"/>
  <c r="N57" i="1"/>
  <c r="N58" i="1"/>
  <c r="N56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9" i="1"/>
</calcChain>
</file>

<file path=xl/sharedStrings.xml><?xml version="1.0" encoding="utf-8"?>
<sst xmlns="http://schemas.openxmlformats.org/spreadsheetml/2006/main" count="193" uniqueCount="179">
  <si>
    <t>广州华立学院学生平时成绩登记表</t>
  </si>
  <si>
    <t>序号</t>
  </si>
  <si>
    <t>学号</t>
  </si>
  <si>
    <t>姓名</t>
  </si>
  <si>
    <t>平时成绩</t>
  </si>
  <si>
    <t>平时总评成绩</t>
  </si>
  <si>
    <t>例：</t>
  </si>
  <si>
    <t>平时考勤</t>
  </si>
  <si>
    <t>平时作业</t>
  </si>
  <si>
    <t>课堂表现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</si>
  <si>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</si>
  <si>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</si>
  <si>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</si>
  <si>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</si>
  <si>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</si>
  <si>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</si>
  <si>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</si>
  <si>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</si>
  <si>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</si>
  <si>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</si>
  <si>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</si>
  <si>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开课学期：2025-2026-1</t>
  </si>
  <si>
    <t>课程：计算机网络</t>
  </si>
  <si>
    <t>教师：张树彬,唐山根</t>
  </si>
  <si>
    <t>班级：24计算机4班</t>
  </si>
  <si>
    <t>1</t>
  </si>
  <si>
    <t>5123210105393</t>
  </si>
  <si>
    <t>杨钦宇</t>
  </si>
  <si>
    <t>2</t>
  </si>
  <si>
    <t>5112221010212</t>
  </si>
  <si>
    <t>唐鑫杨</t>
  </si>
  <si>
    <t>3</t>
  </si>
  <si>
    <t>5112221010505</t>
  </si>
  <si>
    <t>梁健涵</t>
  </si>
  <si>
    <t>4</t>
  </si>
  <si>
    <t>5112215040203</t>
  </si>
  <si>
    <t>房汇斌</t>
  </si>
  <si>
    <t>5</t>
  </si>
  <si>
    <t>5123210102011</t>
  </si>
  <si>
    <t>林烨</t>
  </si>
  <si>
    <t>6</t>
  </si>
  <si>
    <t>5124150308309</t>
  </si>
  <si>
    <t>骆庭晖</t>
  </si>
  <si>
    <t>7</t>
  </si>
  <si>
    <t>5124210101593</t>
  </si>
  <si>
    <t>谢锦文</t>
  </si>
  <si>
    <t>8</t>
  </si>
  <si>
    <t>5124210101596</t>
  </si>
  <si>
    <t>徐聪</t>
  </si>
  <si>
    <t>9</t>
  </si>
  <si>
    <t>5124210101597</t>
  </si>
  <si>
    <t>钟展钊</t>
  </si>
  <si>
    <t>10</t>
  </si>
  <si>
    <t>5124210101599</t>
  </si>
  <si>
    <t>原梓聪</t>
  </si>
  <si>
    <t>11</t>
  </si>
  <si>
    <t>5124210101601</t>
  </si>
  <si>
    <t>谢雨和</t>
  </si>
  <si>
    <t>12</t>
  </si>
  <si>
    <t>5124210101604</t>
  </si>
  <si>
    <t>涂吉凯</t>
  </si>
  <si>
    <t>13</t>
  </si>
  <si>
    <t>5124210101606</t>
  </si>
  <si>
    <t>陈瑞</t>
  </si>
  <si>
    <t>14</t>
  </si>
  <si>
    <t>5124210101607</t>
  </si>
  <si>
    <t>张至奕</t>
  </si>
  <si>
    <t>15</t>
  </si>
  <si>
    <t>5124210101608</t>
  </si>
  <si>
    <t>王嘉诚</t>
  </si>
  <si>
    <t>16</t>
  </si>
  <si>
    <t>5124210101610</t>
  </si>
  <si>
    <t>曾志飞</t>
  </si>
  <si>
    <t>17</t>
  </si>
  <si>
    <t>5124210101611</t>
  </si>
  <si>
    <t>蓝泓钧</t>
  </si>
  <si>
    <t>18</t>
  </si>
  <si>
    <t>5124210101615</t>
  </si>
  <si>
    <t>林肯</t>
  </si>
  <si>
    <t>19</t>
  </si>
  <si>
    <t>5124210101617</t>
  </si>
  <si>
    <t>陈煜佳</t>
  </si>
  <si>
    <t>20</t>
  </si>
  <si>
    <t>5124210101618</t>
  </si>
  <si>
    <t>肖亮</t>
  </si>
  <si>
    <t>21</t>
  </si>
  <si>
    <t>5124210101619</t>
  </si>
  <si>
    <t>张家瑄</t>
  </si>
  <si>
    <t>22</t>
  </si>
  <si>
    <t>5124210101620</t>
  </si>
  <si>
    <t>张佳鑫</t>
  </si>
  <si>
    <t>23</t>
  </si>
  <si>
    <t>5124210104864</t>
  </si>
  <si>
    <t>朱晋咏</t>
  </si>
  <si>
    <t>24</t>
  </si>
  <si>
    <t>5124210104873</t>
  </si>
  <si>
    <t>钱俊毅</t>
  </si>
  <si>
    <t>25</t>
  </si>
  <si>
    <t>5124210104876</t>
  </si>
  <si>
    <t>王汉祥</t>
  </si>
  <si>
    <t>26</t>
  </si>
  <si>
    <t>5124210104884</t>
  </si>
  <si>
    <t>罗霁野</t>
  </si>
  <si>
    <t>27</t>
  </si>
  <si>
    <t>5124210104901</t>
  </si>
  <si>
    <t>林志鹏</t>
  </si>
  <si>
    <t>28</t>
  </si>
  <si>
    <t>5124210104902</t>
  </si>
  <si>
    <t>许杰勋</t>
  </si>
  <si>
    <t>29</t>
  </si>
  <si>
    <t>5124210104959</t>
  </si>
  <si>
    <t>兰曹云</t>
  </si>
  <si>
    <t>30</t>
  </si>
  <si>
    <t>5124210104961</t>
  </si>
  <si>
    <t>洪松钧</t>
  </si>
  <si>
    <t>31</t>
  </si>
  <si>
    <t>5124210104962</t>
  </si>
  <si>
    <t>王家翔</t>
  </si>
  <si>
    <t>32</t>
  </si>
  <si>
    <t>5124210104963</t>
  </si>
  <si>
    <t>陈俊行</t>
  </si>
  <si>
    <t>33</t>
  </si>
  <si>
    <t>5224210101591</t>
  </si>
  <si>
    <t>陈欣怡</t>
  </si>
  <si>
    <t>34</t>
  </si>
  <si>
    <t>5224210101592</t>
  </si>
  <si>
    <t>李斯涵</t>
  </si>
  <si>
    <t>35</t>
  </si>
  <si>
    <t>5224210101594</t>
  </si>
  <si>
    <t>陈妍彤</t>
  </si>
  <si>
    <t>36</t>
  </si>
  <si>
    <t>5224210101595</t>
  </si>
  <si>
    <t>梁芷昕</t>
  </si>
  <si>
    <t>37</t>
  </si>
  <si>
    <t>5224210101598</t>
  </si>
  <si>
    <t>肖心悦</t>
  </si>
  <si>
    <t>38</t>
  </si>
  <si>
    <t>5224210101600</t>
  </si>
  <si>
    <t>黄韵怡</t>
  </si>
  <si>
    <t>39</t>
  </si>
  <si>
    <t>5224210101602</t>
  </si>
  <si>
    <t>钟瑜</t>
  </si>
  <si>
    <t>40</t>
  </si>
  <si>
    <t>5224210101605</t>
  </si>
  <si>
    <t>黄伯琪</t>
  </si>
  <si>
    <t>41</t>
  </si>
  <si>
    <t>5224210101609</t>
  </si>
  <si>
    <t>郑洁儿</t>
  </si>
  <si>
    <t>42</t>
  </si>
  <si>
    <t>5224210101612</t>
  </si>
  <si>
    <t>欧芷盈</t>
  </si>
  <si>
    <t>43</t>
  </si>
  <si>
    <t>5224210101613</t>
  </si>
  <si>
    <t>彭渲棋</t>
  </si>
  <si>
    <t>44</t>
  </si>
  <si>
    <t>5224210101614</t>
  </si>
  <si>
    <t>林伊茗</t>
  </si>
  <si>
    <t>45</t>
  </si>
  <si>
    <t>5224210101616</t>
  </si>
  <si>
    <t>刘育慧</t>
  </si>
  <si>
    <t>46</t>
  </si>
  <si>
    <t>5224210104865</t>
  </si>
  <si>
    <t>朱思涵</t>
  </si>
  <si>
    <t>47</t>
  </si>
  <si>
    <t>5224210104885</t>
  </si>
  <si>
    <t>刘添钰</t>
  </si>
  <si>
    <t>48</t>
  </si>
  <si>
    <t>5123210105072</t>
  </si>
  <si>
    <t>鄢昊</t>
  </si>
  <si>
    <t>积分</t>
    <phoneticPr fontId="25" type="noConversion"/>
  </si>
  <si>
    <t>平均签到率</t>
    <phoneticPr fontId="25" type="noConversion"/>
  </si>
  <si>
    <t>考试成绩</t>
    <phoneticPr fontId="25" type="noConversion"/>
  </si>
  <si>
    <t>作弊</t>
    <phoneticPr fontId="25" type="noConversion"/>
  </si>
  <si>
    <t>全勤</t>
    <phoneticPr fontId="25" type="noConversion"/>
  </si>
  <si>
    <t>平时考试</t>
    <phoneticPr fontId="25" type="noConversion"/>
  </si>
  <si>
    <t>活动</t>
    <phoneticPr fontId="25" type="noConversion"/>
  </si>
  <si>
    <t>平时</t>
    <phoneticPr fontId="25" type="noConversion"/>
  </si>
  <si>
    <t>最终成绩</t>
    <phoneticPr fontId="25" type="noConversion"/>
  </si>
  <si>
    <t>表现OP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</si>
</sst>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2"/>
      <name val="宋体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u/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theme="3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theme="3"/>
      <name val="宋体"/>
      <family val="3"/>
      <charset val="134"/>
    </font>
    <font>
      <b/>
      <sz val="13"/>
      <color theme="3"/>
      <name val="宋体"/>
      <family val="3"/>
      <charset val="134"/>
    </font>
    <font>
      <b/>
      <sz val="11"/>
      <color theme="3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sz val="11"/>
      <color rgb="FFFA7D00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8"/>
      <name val="宋体"/>
      <family val="3"/>
      <charset val="134"/>
    </font>
    <font>
      <sz val="10"/>
      <color rgb="FFC00000"/>
      <name val="宋体"/>
      <family val="3"/>
      <charset val="134"/>
    </font>
    <font>
      <sz val="10"/>
      <color theme="9" tint="-0.249977111117893"/>
      <name val="宋体"/>
      <family val="3"/>
      <charset val="134"/>
    </font>
    <font>
      <sz val="10"/>
      <color theme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Fill="0"/>
    <xf numFmtId="0" fontId="11" fillId="2" borderId="9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4" fillId="0" borderId="0" applyNumberFormat="0" applyFont="0" applyFill="0" applyProtection="0"/>
  </cellStyleXfs>
  <cellXfs count="6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0" fillId="0" borderId="1" xfId="0" applyBorder="1" applyAlignment="1">
      <alignment shrinkToFit="1"/>
    </xf>
    <xf numFmtId="0" fontId="0" fillId="0" borderId="1" xfId="0" applyBorder="1"/>
    <xf numFmtId="49" fontId="1" fillId="0" borderId="0" xfId="0" applyNumberFormat="1" applyFont="1"/>
    <xf numFmtId="0" fontId="0" fillId="0" borderId="6" xfId="0" applyBorder="1" applyAlignment="1">
      <alignment shrinkToFit="1"/>
    </xf>
    <xf numFmtId="0" fontId="0" fillId="0" borderId="6" xfId="0" applyBorder="1"/>
    <xf numFmtId="0" fontId="1" fillId="0" borderId="0" xfId="0" applyFont="1"/>
    <xf numFmtId="0" fontId="5" fillId="0" borderId="6" xfId="0" applyFont="1" applyBorder="1"/>
    <xf numFmtId="49" fontId="0" fillId="0" borderId="8" xfId="0" applyNumberFormat="1" applyBorder="1"/>
    <xf numFmtId="0" fontId="0" fillId="0" borderId="8" xfId="0" applyBorder="1" applyAlignment="1">
      <alignment shrinkToFit="1"/>
    </xf>
    <xf numFmtId="0" fontId="0" fillId="0" borderId="8" xfId="0" applyBorder="1"/>
    <xf numFmtId="0" fontId="26" fillId="0" borderId="0" xfId="0" applyFont="1" applyAlignment="1">
      <alignment horizontal="center"/>
    </xf>
    <xf numFmtId="49" fontId="2" fillId="0" borderId="3" xfId="0" applyNumberFormat="1" applyFont="1" applyFill="1" applyBorder="1" applyAlignment="1">
      <alignment horizontal="center" shrinkToFit="1"/>
    </xf>
    <xf numFmtId="0" fontId="27" fillId="0" borderId="3" xfId="0" applyFont="1" applyBorder="1" applyAlignment="1">
      <alignment horizontal="center"/>
    </xf>
    <xf numFmtId="49" fontId="27" fillId="0" borderId="3" xfId="0" applyNumberFormat="1" applyFont="1" applyFill="1" applyBorder="1" applyAlignment="1">
      <alignment horizontal="center" shrinkToFit="1"/>
    </xf>
    <xf numFmtId="0" fontId="28" fillId="0" borderId="3" xfId="0" applyFont="1" applyFill="1" applyBorder="1" applyAlignment="1">
      <alignment horizontal="center" shrinkToFit="1"/>
    </xf>
    <xf numFmtId="49" fontId="29" fillId="0" borderId="3" xfId="0" applyNumberFormat="1" applyFont="1" applyFill="1" applyBorder="1" applyAlignment="1">
      <alignment horizontal="center" shrinkToFit="1"/>
    </xf>
    <xf numFmtId="0" fontId="29" fillId="0" borderId="0" xfId="0" applyFont="1" applyAlignment="1">
      <alignment horizontal="center"/>
    </xf>
    <xf numFmtId="49" fontId="29" fillId="0" borderId="3" xfId="0" applyNumberFormat="1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 applyAlignment="1">
      <alignment vertical="center" shrinkToFit="1"/>
    </xf>
    <xf numFmtId="0" fontId="27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vertical="center" shrinkToFit="1"/>
    </xf>
    <xf numFmtId="0" fontId="30" fillId="0" borderId="3" xfId="0" applyFont="1" applyBorder="1" applyAlignment="1">
      <alignment horizontal="center" shrinkToFit="1"/>
    </xf>
    <xf numFmtId="49" fontId="30" fillId="0" borderId="3" xfId="0" applyNumberFormat="1" applyFont="1" applyBorder="1" applyAlignment="1">
      <alignment horizontal="center" shrinkToFit="1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/>
    </xf>
  </cellXfs>
  <cellStyles count="43">
    <cellStyle name="_blankBorder" xfId="42" xr:uid="{FE117D64-6EA6-4ACC-B813-88F8F1F032B9}"/>
    <cellStyle name="20% - 强调文字颜色 1" xfId="19" xr:uid="{38E8DCAE-70E1-482F-8889-C29B0EE9C63F}"/>
    <cellStyle name="20% - 强调文字颜色 2" xfId="23" xr:uid="{DB293118-689D-4FCD-8EFC-95B1A623AE9D}"/>
    <cellStyle name="20% - 强调文字颜色 3" xfId="27" xr:uid="{3631C341-D997-45F6-A34A-16933E4DA0AB}"/>
    <cellStyle name="20% - 强调文字颜色 4" xfId="31" xr:uid="{336C530C-26C3-41EB-B3CF-6CBE643FFCAD}"/>
    <cellStyle name="20% - 强调文字颜色 5" xfId="35" xr:uid="{7FCE3BE5-1F75-4D84-B468-1107C48DACD7}"/>
    <cellStyle name="20% - 强调文字颜色 6" xfId="39" xr:uid="{972FF789-8400-457F-AFBA-C999ADFCF42D}"/>
    <cellStyle name="40% - 强调文字颜色 1" xfId="20" xr:uid="{2A33C146-7DB5-458E-BC17-2A965A4FED1E}"/>
    <cellStyle name="40% - 强调文字颜色 2" xfId="24" xr:uid="{532487DA-B690-469F-98C5-E9970207C1FB}"/>
    <cellStyle name="40% - 强调文字颜色 3" xfId="28" xr:uid="{504D3BEF-9170-4C2A-AF35-1781115EEA8D}"/>
    <cellStyle name="40% - 强调文字颜色 4" xfId="32" xr:uid="{FE89E1FE-AD8A-4653-ABAB-4835F28F9E61}"/>
    <cellStyle name="40% - 强调文字颜色 5" xfId="36" xr:uid="{29508DFD-B7BA-4065-BA10-1BD44452E769}"/>
    <cellStyle name="40% - 强调文字颜色 6" xfId="40" xr:uid="{A076C615-3931-47D5-971D-64DEFEE255A6}"/>
    <cellStyle name="60% - 强调文字颜色 1" xfId="21" xr:uid="{63A8A178-E365-4A84-8196-E72FAE704E86}"/>
    <cellStyle name="60% - 强调文字颜色 2" xfId="25" xr:uid="{2490D7AA-36C8-495E-ABD1-BD751BA056B0}"/>
    <cellStyle name="60% - 强调文字颜色 3" xfId="29" xr:uid="{5FCE1A60-3622-4A30-B7E8-D637AB011E2D}"/>
    <cellStyle name="60% - 强调文字颜色 4" xfId="33" xr:uid="{25F01D49-9B33-4E33-8F0A-C29FF9EFB1BB}"/>
    <cellStyle name="60% - 强调文字颜色 5" xfId="37" xr:uid="{E2300CE5-EC69-471A-90EE-209D33454548}"/>
    <cellStyle name="60% - 强调文字颜色 6" xfId="41" xr:uid="{A3CD9740-59AE-48CC-ACC6-04E60D457A72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A96A41E0-72C0-4BFC-960E-416015ADBF45}"/>
    <cellStyle name="强调文字颜色 2" xfId="22" xr:uid="{7D5EBC68-C196-43EB-8236-6FD7E4AD48B1}"/>
    <cellStyle name="强调文字颜色 3" xfId="26" xr:uid="{C156FB24-DB5E-4D9D-9C80-0D5CD58A2A44}"/>
    <cellStyle name="强调文字颜色 4" xfId="30" xr:uid="{6E941BB5-CB52-440E-B9E0-F3A271DC825A}"/>
    <cellStyle name="强调文字颜色 5" xfId="34" xr:uid="{B99BB37D-4F82-4330-893D-4D212A449258}"/>
    <cellStyle name="强调文字颜色 6" xfId="38" xr:uid="{C528CD22-2910-4273-AB54-8D51B0DB2573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E584051D-1E60-4E94-8ADD-D63CF42CA6B9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856E-E1E4-4BFF-BBC4-5E25B7B788B3}">
  <sheetPr>
    <pageSetUpPr autoPageBreaks="0"/>
  </sheetPr>
  <dimension ref="A1:S66"/>
  <sheetViews>
    <sheetView tabSelected="1" topLeftCell="A31" zoomScale="130" zoomScaleNormal="130" zoomScaleSheetLayoutView="100" workbookViewId="0">
      <selection activeCell="M38" sqref="M38"/>
    </sheetView>
  </sheetViews>
  <sheetFormatPr defaultColWidth="9" defaultRowHeight="14.25" x14ac:dyDescent="0.15"/>
  <cols>
    <col min="1" max="1" width="4.375" customWidth="1"/>
    <col min="2" max="2" width="11.375" style="4" customWidth="1"/>
    <col min="3" max="3" width="11.625" style="5" customWidth="1"/>
    <col min="4" max="11" width="7.25" customWidth="1"/>
    <col min="12" max="15" width="7.875" customWidth="1"/>
    <col min="16" max="16" width="8" customWidth="1"/>
    <col min="17" max="17" width="9.625" customWidth="1"/>
  </cols>
  <sheetData>
    <row r="1" spans="1:18" ht="30.75" customHeight="1" x14ac:dyDescent="0.1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46"/>
      <c r="N1" s="46"/>
      <c r="O1" s="46"/>
      <c r="P1" s="46"/>
    </row>
    <row r="2" spans="1:18" s="1" customFormat="1" ht="16.5" customHeight="1" x14ac:dyDescent="0.15">
      <c r="A2" s="62" t="s">
        <v>21</v>
      </c>
      <c r="B2" s="62"/>
      <c r="C2" s="62"/>
      <c r="D2" s="63" t="s">
        <v>22</v>
      </c>
      <c r="E2" s="63"/>
      <c r="F2" s="63"/>
      <c r="G2" s="63" t="s">
        <v>23</v>
      </c>
      <c r="H2" s="63"/>
      <c r="I2" s="63"/>
      <c r="J2" s="63" t="s">
        <v>24</v>
      </c>
      <c r="K2" s="63"/>
      <c r="L2" s="63"/>
      <c r="M2" s="34"/>
      <c r="N2" s="34"/>
      <c r="O2" s="34"/>
      <c r="P2" s="40"/>
    </row>
    <row r="3" spans="1:18" s="2" customFormat="1" ht="15.75" customHeight="1" x14ac:dyDescent="0.15">
      <c r="A3" s="59" t="s">
        <v>1</v>
      </c>
      <c r="B3" s="60" t="s">
        <v>2</v>
      </c>
      <c r="C3" s="61" t="s">
        <v>3</v>
      </c>
      <c r="D3" s="58" t="s">
        <v>4</v>
      </c>
      <c r="E3" s="58"/>
      <c r="F3" s="58"/>
      <c r="G3" s="58"/>
      <c r="H3" s="58"/>
      <c r="I3" s="58"/>
      <c r="J3" s="58"/>
      <c r="K3" s="58"/>
      <c r="L3" s="52" t="s">
        <v>5</v>
      </c>
      <c r="M3" s="36"/>
      <c r="N3" s="36"/>
      <c r="O3" s="36"/>
      <c r="Q3" s="23" t="s">
        <v>170</v>
      </c>
      <c r="R3" s="2">
        <v>83</v>
      </c>
    </row>
    <row r="4" spans="1:18" s="2" customFormat="1" ht="15.75" customHeight="1" x14ac:dyDescent="0.15">
      <c r="A4" s="59"/>
      <c r="B4" s="60"/>
      <c r="C4" s="61"/>
      <c r="D4" s="51" t="s">
        <v>6</v>
      </c>
      <c r="E4" s="59" t="s">
        <v>7</v>
      </c>
      <c r="F4" s="59" t="s">
        <v>8</v>
      </c>
      <c r="G4" s="59" t="s">
        <v>9</v>
      </c>
      <c r="H4" s="65"/>
      <c r="I4" s="65"/>
      <c r="J4" s="59" t="s">
        <v>169</v>
      </c>
      <c r="K4" s="51" t="s">
        <v>173</v>
      </c>
      <c r="L4" s="52"/>
      <c r="M4" s="36"/>
      <c r="N4" s="36"/>
      <c r="O4" s="36"/>
    </row>
    <row r="5" spans="1:18" s="2" customFormat="1" ht="15.75" customHeight="1" x14ac:dyDescent="0.15">
      <c r="A5" s="59"/>
      <c r="B5" s="60"/>
      <c r="C5" s="61"/>
      <c r="D5" s="51"/>
      <c r="E5" s="59"/>
      <c r="F5" s="59"/>
      <c r="G5" s="59"/>
      <c r="H5" s="59"/>
      <c r="I5" s="59"/>
      <c r="J5" s="59"/>
      <c r="K5" s="51"/>
      <c r="L5" s="52"/>
      <c r="M5" s="36"/>
      <c r="N5" s="36"/>
      <c r="O5" s="36"/>
      <c r="Q5" s="2" t="s">
        <v>177</v>
      </c>
      <c r="R5" s="2" t="s">
        <v>171</v>
      </c>
    </row>
    <row r="6" spans="1:18" s="2" customFormat="1" ht="15" customHeight="1" x14ac:dyDescent="0.15">
      <c r="A6" s="7" t="s">
        <v>25</v>
      </c>
      <c r="B6" s="30" t="s">
        <v>26</v>
      </c>
      <c r="C6" s="31" t="s">
        <v>27</v>
      </c>
      <c r="D6" s="10"/>
      <c r="E6" s="25">
        <v>60</v>
      </c>
      <c r="F6" s="25">
        <v>60</v>
      </c>
      <c r="G6" s="25">
        <v>60</v>
      </c>
      <c r="H6" s="10"/>
      <c r="I6" s="10"/>
      <c r="J6" s="10"/>
      <c r="K6" s="10"/>
      <c r="L6" s="10">
        <v>60</v>
      </c>
      <c r="Q6" s="2">
        <f>L6*0.3+R6*0.7</f>
        <v>33.049999999999997</v>
      </c>
      <c r="R6" s="29">
        <v>21.5</v>
      </c>
    </row>
    <row r="7" spans="1:18" s="2" customFormat="1" ht="15" customHeight="1" x14ac:dyDescent="0.15">
      <c r="A7" s="7" t="s">
        <v>28</v>
      </c>
      <c r="B7" s="30" t="s">
        <v>29</v>
      </c>
      <c r="C7" s="44" t="s">
        <v>30</v>
      </c>
      <c r="D7" s="10"/>
      <c r="E7" s="25">
        <v>60</v>
      </c>
      <c r="F7" s="25">
        <v>60</v>
      </c>
      <c r="G7" s="25">
        <v>60</v>
      </c>
      <c r="H7" s="10"/>
      <c r="I7" s="10"/>
      <c r="J7" s="10"/>
      <c r="K7" s="10"/>
      <c r="L7" s="10">
        <v>90</v>
      </c>
      <c r="Q7" s="2">
        <f t="shared" ref="Q7:Q49" si="0">L7*0.3+R7*0.7</f>
        <v>60.25</v>
      </c>
      <c r="R7" s="29">
        <v>47.5</v>
      </c>
    </row>
    <row r="8" spans="1:18" s="2" customFormat="1" ht="15" customHeight="1" x14ac:dyDescent="0.15">
      <c r="A8" s="7" t="s">
        <v>31</v>
      </c>
      <c r="B8" s="30" t="s">
        <v>32</v>
      </c>
      <c r="C8" s="31" t="s">
        <v>33</v>
      </c>
      <c r="D8" s="10"/>
      <c r="E8" s="25">
        <v>60</v>
      </c>
      <c r="F8" s="25">
        <v>60</v>
      </c>
      <c r="G8" s="25">
        <v>60</v>
      </c>
      <c r="H8" s="10"/>
      <c r="I8" s="10"/>
      <c r="J8" s="10"/>
      <c r="K8" s="10"/>
      <c r="L8" s="10">
        <v>60</v>
      </c>
      <c r="M8" s="2" t="s">
        <v>176</v>
      </c>
      <c r="N8" s="2" t="s">
        <v>178</v>
      </c>
      <c r="O8" s="2" t="s">
        <v>175</v>
      </c>
      <c r="P8" s="2" t="s">
        <v>174</v>
      </c>
      <c r="Q8" s="2">
        <f t="shared" si="0"/>
        <v>48.45</v>
      </c>
      <c r="R8" s="29">
        <v>43.5</v>
      </c>
    </row>
    <row r="9" spans="1:18" s="2" customFormat="1" ht="15" customHeight="1" x14ac:dyDescent="0.15">
      <c r="A9" s="7" t="s">
        <v>34</v>
      </c>
      <c r="B9" s="26" t="s">
        <v>35</v>
      </c>
      <c r="C9" s="9" t="s">
        <v>36</v>
      </c>
      <c r="D9" s="10"/>
      <c r="E9" s="33">
        <v>56</v>
      </c>
      <c r="F9" s="10">
        <v>78</v>
      </c>
      <c r="G9" s="10">
        <v>100</v>
      </c>
      <c r="H9" s="10"/>
      <c r="I9" s="10"/>
      <c r="J9" s="10"/>
      <c r="K9" s="10"/>
      <c r="L9" s="10">
        <v>75.8</v>
      </c>
      <c r="M9" s="2">
        <f>E9*0.3+F9*0.5+G9*0.2+J9+K9</f>
        <v>75.8</v>
      </c>
      <c r="N9" s="2">
        <f>O9+P9</f>
        <v>129</v>
      </c>
      <c r="O9" s="2">
        <v>40</v>
      </c>
      <c r="P9" s="2">
        <v>89</v>
      </c>
      <c r="Q9" s="2">
        <f t="shared" si="0"/>
        <v>71.039999999999992</v>
      </c>
      <c r="R9" s="2">
        <v>69</v>
      </c>
    </row>
    <row r="10" spans="1:18" s="2" customFormat="1" ht="15" customHeight="1" x14ac:dyDescent="0.15">
      <c r="A10" s="7" t="s">
        <v>37</v>
      </c>
      <c r="B10" s="8" t="s">
        <v>38</v>
      </c>
      <c r="C10" s="9" t="s">
        <v>39</v>
      </c>
      <c r="D10" s="10"/>
      <c r="E10" s="10">
        <v>100</v>
      </c>
      <c r="F10" s="10">
        <v>87</v>
      </c>
      <c r="G10" s="10">
        <v>83</v>
      </c>
      <c r="H10" s="10"/>
      <c r="I10" s="10"/>
      <c r="J10" s="25"/>
      <c r="K10" s="10">
        <v>5</v>
      </c>
      <c r="L10" s="10">
        <v>95.1</v>
      </c>
      <c r="M10" s="2">
        <f t="shared" ref="M10:M49" si="1">E10*0.3+F10*0.5+G10*0.2+J10+K10</f>
        <v>95.1</v>
      </c>
      <c r="N10" s="2">
        <f t="shared" ref="N10:N49" si="2">O10+P10</f>
        <v>54</v>
      </c>
      <c r="O10" s="2">
        <v>54</v>
      </c>
      <c r="P10" s="41">
        <v>0</v>
      </c>
      <c r="Q10" s="2">
        <f t="shared" si="0"/>
        <v>64.22999999999999</v>
      </c>
      <c r="R10" s="2">
        <v>51</v>
      </c>
    </row>
    <row r="11" spans="1:18" s="2" customFormat="1" ht="15" customHeight="1" x14ac:dyDescent="0.15">
      <c r="A11" s="7" t="s">
        <v>40</v>
      </c>
      <c r="B11" s="8" t="s">
        <v>41</v>
      </c>
      <c r="C11" s="9" t="s">
        <v>42</v>
      </c>
      <c r="D11" s="10"/>
      <c r="E11" s="10">
        <v>100</v>
      </c>
      <c r="F11" s="10">
        <v>100</v>
      </c>
      <c r="G11" s="10">
        <v>100</v>
      </c>
      <c r="H11" s="10"/>
      <c r="I11" s="10"/>
      <c r="J11" s="10">
        <v>2</v>
      </c>
      <c r="K11" s="10">
        <v>5</v>
      </c>
      <c r="L11" s="10">
        <v>100</v>
      </c>
      <c r="M11" s="2">
        <f t="shared" si="1"/>
        <v>107</v>
      </c>
      <c r="N11" s="2">
        <f t="shared" si="2"/>
        <v>182</v>
      </c>
      <c r="O11" s="2">
        <v>94</v>
      </c>
      <c r="P11" s="2">
        <v>88</v>
      </c>
      <c r="Q11" s="2">
        <f t="shared" si="0"/>
        <v>74.099999999999994</v>
      </c>
      <c r="R11" s="2">
        <v>63</v>
      </c>
    </row>
    <row r="12" spans="1:18" s="2" customFormat="1" ht="15" customHeight="1" x14ac:dyDescent="0.15">
      <c r="A12" s="7" t="s">
        <v>43</v>
      </c>
      <c r="B12" s="8" t="s">
        <v>44</v>
      </c>
      <c r="C12" s="9" t="s">
        <v>45</v>
      </c>
      <c r="D12" s="10"/>
      <c r="E12" s="10">
        <v>100</v>
      </c>
      <c r="F12" s="10">
        <v>100</v>
      </c>
      <c r="G12" s="10">
        <v>100</v>
      </c>
      <c r="H12" s="10"/>
      <c r="I12" s="10"/>
      <c r="J12" s="25"/>
      <c r="K12" s="10">
        <v>5</v>
      </c>
      <c r="L12" s="10">
        <v>100</v>
      </c>
      <c r="M12" s="2">
        <f t="shared" si="1"/>
        <v>105</v>
      </c>
      <c r="N12" s="2">
        <f t="shared" si="2"/>
        <v>62</v>
      </c>
      <c r="O12" s="2">
        <v>62</v>
      </c>
      <c r="P12" s="41">
        <v>0</v>
      </c>
      <c r="Q12" s="2">
        <f t="shared" si="0"/>
        <v>75.849999999999994</v>
      </c>
      <c r="R12" s="2">
        <v>65.5</v>
      </c>
    </row>
    <row r="13" spans="1:18" s="2" customFormat="1" ht="15" customHeight="1" x14ac:dyDescent="0.15">
      <c r="A13" s="7" t="s">
        <v>46</v>
      </c>
      <c r="B13" s="26" t="s">
        <v>47</v>
      </c>
      <c r="C13" s="9" t="s">
        <v>48</v>
      </c>
      <c r="D13" s="10"/>
      <c r="E13" s="33">
        <v>44</v>
      </c>
      <c r="F13" s="10">
        <v>80</v>
      </c>
      <c r="G13" s="10">
        <v>83</v>
      </c>
      <c r="H13" s="10"/>
      <c r="I13" s="10"/>
      <c r="J13" s="10"/>
      <c r="K13" s="10"/>
      <c r="L13" s="66">
        <v>75</v>
      </c>
      <c r="M13" s="2">
        <f t="shared" si="1"/>
        <v>69.800000000000011</v>
      </c>
      <c r="N13" s="2">
        <f t="shared" si="2"/>
        <v>10</v>
      </c>
      <c r="O13" s="2">
        <v>10</v>
      </c>
      <c r="P13" s="2">
        <v>0</v>
      </c>
      <c r="Q13" s="2">
        <f t="shared" si="0"/>
        <v>59.599999999999994</v>
      </c>
      <c r="R13" s="2">
        <v>53</v>
      </c>
    </row>
    <row r="14" spans="1:18" s="2" customFormat="1" ht="15" customHeight="1" x14ac:dyDescent="0.15">
      <c r="A14" s="7" t="s">
        <v>49</v>
      </c>
      <c r="B14" s="45" t="s">
        <v>50</v>
      </c>
      <c r="C14" s="44" t="s">
        <v>51</v>
      </c>
      <c r="D14" s="10"/>
      <c r="E14" s="10">
        <v>100</v>
      </c>
      <c r="F14" s="10">
        <v>100</v>
      </c>
      <c r="G14" s="10">
        <v>100</v>
      </c>
      <c r="H14" s="10"/>
      <c r="I14" s="10"/>
      <c r="J14" s="10"/>
      <c r="K14" s="10">
        <v>5</v>
      </c>
      <c r="L14" s="25">
        <v>100</v>
      </c>
      <c r="M14" s="2">
        <f t="shared" si="1"/>
        <v>105</v>
      </c>
      <c r="N14" s="2">
        <f t="shared" si="2"/>
        <v>160</v>
      </c>
      <c r="O14" s="2">
        <v>62</v>
      </c>
      <c r="P14" s="2">
        <v>98</v>
      </c>
      <c r="Q14" s="2">
        <f t="shared" si="0"/>
        <v>60.8</v>
      </c>
      <c r="R14" s="29">
        <v>44</v>
      </c>
    </row>
    <row r="15" spans="1:18" s="2" customFormat="1" ht="15" customHeight="1" x14ac:dyDescent="0.15">
      <c r="A15" s="7" t="s">
        <v>52</v>
      </c>
      <c r="B15" s="8" t="s">
        <v>53</v>
      </c>
      <c r="C15" s="9" t="s">
        <v>54</v>
      </c>
      <c r="D15" s="10"/>
      <c r="E15" s="10">
        <v>100</v>
      </c>
      <c r="F15" s="10">
        <v>100</v>
      </c>
      <c r="G15" s="10">
        <v>100</v>
      </c>
      <c r="H15" s="10"/>
      <c r="I15" s="10"/>
      <c r="J15" s="10"/>
      <c r="K15" s="10">
        <v>5</v>
      </c>
      <c r="L15" s="10">
        <v>100</v>
      </c>
      <c r="M15" s="2">
        <f t="shared" si="1"/>
        <v>105</v>
      </c>
      <c r="N15" s="2">
        <f t="shared" si="2"/>
        <v>135</v>
      </c>
      <c r="O15" s="2">
        <v>70</v>
      </c>
      <c r="P15" s="2">
        <v>65</v>
      </c>
      <c r="Q15" s="2">
        <f t="shared" si="0"/>
        <v>68.849999999999994</v>
      </c>
      <c r="R15" s="2">
        <v>55.5</v>
      </c>
    </row>
    <row r="16" spans="1:18" s="2" customFormat="1" ht="15" customHeight="1" x14ac:dyDescent="0.15">
      <c r="A16" s="7" t="s">
        <v>55</v>
      </c>
      <c r="B16" s="8" t="s">
        <v>56</v>
      </c>
      <c r="C16" s="9" t="s">
        <v>57</v>
      </c>
      <c r="D16" s="10"/>
      <c r="E16" s="10">
        <v>100</v>
      </c>
      <c r="F16" s="10">
        <v>85</v>
      </c>
      <c r="G16" s="10">
        <v>83</v>
      </c>
      <c r="H16" s="10"/>
      <c r="I16" s="10"/>
      <c r="J16" s="25"/>
      <c r="K16" s="10">
        <v>5</v>
      </c>
      <c r="L16" s="10">
        <v>94.1</v>
      </c>
      <c r="M16" s="2">
        <f t="shared" si="1"/>
        <v>94.1</v>
      </c>
      <c r="N16" s="2">
        <f t="shared" si="2"/>
        <v>60</v>
      </c>
      <c r="O16" s="2">
        <v>60</v>
      </c>
      <c r="P16" s="41">
        <v>0</v>
      </c>
      <c r="Q16" s="2">
        <f t="shared" si="0"/>
        <v>51.679999999999993</v>
      </c>
      <c r="R16" s="29">
        <v>33.5</v>
      </c>
    </row>
    <row r="17" spans="1:18" s="2" customFormat="1" ht="15" customHeight="1" x14ac:dyDescent="0.15">
      <c r="A17" s="7" t="s">
        <v>58</v>
      </c>
      <c r="B17" s="8" t="s">
        <v>59</v>
      </c>
      <c r="C17" s="9" t="s">
        <v>60</v>
      </c>
      <c r="D17" s="10"/>
      <c r="E17" s="10">
        <v>100</v>
      </c>
      <c r="F17" s="10">
        <v>88</v>
      </c>
      <c r="G17" s="10">
        <v>83</v>
      </c>
      <c r="H17" s="10"/>
      <c r="I17" s="10"/>
      <c r="J17" s="25">
        <v>3</v>
      </c>
      <c r="K17" s="10">
        <v>5</v>
      </c>
      <c r="L17" s="10">
        <v>98.6</v>
      </c>
      <c r="M17" s="2">
        <f t="shared" si="1"/>
        <v>98.6</v>
      </c>
      <c r="N17" s="2">
        <f t="shared" si="2"/>
        <v>62</v>
      </c>
      <c r="O17" s="2">
        <v>62</v>
      </c>
      <c r="P17" s="41">
        <v>0</v>
      </c>
      <c r="Q17" s="2">
        <f t="shared" si="0"/>
        <v>72.63</v>
      </c>
      <c r="R17" s="2">
        <v>61.5</v>
      </c>
    </row>
    <row r="18" spans="1:18" s="2" customFormat="1" ht="15" customHeight="1" x14ac:dyDescent="0.15">
      <c r="A18" s="7" t="s">
        <v>61</v>
      </c>
      <c r="B18" s="8" t="s">
        <v>62</v>
      </c>
      <c r="C18" s="9" t="s">
        <v>63</v>
      </c>
      <c r="D18" s="10"/>
      <c r="E18" s="10">
        <v>100</v>
      </c>
      <c r="F18" s="10">
        <v>100</v>
      </c>
      <c r="G18" s="10">
        <v>100</v>
      </c>
      <c r="H18" s="10"/>
      <c r="I18" s="10"/>
      <c r="J18" s="10"/>
      <c r="K18" s="10">
        <v>5</v>
      </c>
      <c r="L18" s="10">
        <v>100</v>
      </c>
      <c r="M18" s="2">
        <f t="shared" si="1"/>
        <v>105</v>
      </c>
      <c r="N18" s="2">
        <f t="shared" si="2"/>
        <v>181</v>
      </c>
      <c r="O18" s="2">
        <v>84</v>
      </c>
      <c r="P18" s="2">
        <v>97</v>
      </c>
      <c r="Q18" s="2">
        <f t="shared" si="0"/>
        <v>74.099999999999994</v>
      </c>
      <c r="R18" s="2">
        <v>63</v>
      </c>
    </row>
    <row r="19" spans="1:18" s="2" customFormat="1" ht="15" customHeight="1" x14ac:dyDescent="0.15">
      <c r="A19" s="7" t="s">
        <v>64</v>
      </c>
      <c r="B19" s="8" t="s">
        <v>65</v>
      </c>
      <c r="C19" s="9" t="s">
        <v>66</v>
      </c>
      <c r="D19" s="10"/>
      <c r="E19" s="10">
        <v>100</v>
      </c>
      <c r="F19" s="10">
        <v>84</v>
      </c>
      <c r="G19" s="10">
        <v>92</v>
      </c>
      <c r="H19" s="10"/>
      <c r="I19" s="10"/>
      <c r="J19" s="10">
        <v>1</v>
      </c>
      <c r="K19" s="10">
        <v>5</v>
      </c>
      <c r="L19" s="10">
        <v>96.4</v>
      </c>
      <c r="M19" s="2">
        <f t="shared" si="1"/>
        <v>96.4</v>
      </c>
      <c r="N19" s="2">
        <f t="shared" si="2"/>
        <v>92</v>
      </c>
      <c r="O19" s="2">
        <v>92</v>
      </c>
      <c r="P19" s="2">
        <v>0</v>
      </c>
      <c r="Q19" s="2">
        <f t="shared" si="0"/>
        <v>75.819999999999993</v>
      </c>
      <c r="R19" s="2">
        <v>67</v>
      </c>
    </row>
    <row r="20" spans="1:18" s="2" customFormat="1" ht="15" customHeight="1" x14ac:dyDescent="0.15">
      <c r="A20" s="7" t="s">
        <v>67</v>
      </c>
      <c r="B20" s="45" t="s">
        <v>68</v>
      </c>
      <c r="C20" s="44" t="s">
        <v>69</v>
      </c>
      <c r="D20" s="10"/>
      <c r="E20" s="10">
        <v>67</v>
      </c>
      <c r="F20" s="10">
        <v>100</v>
      </c>
      <c r="G20" s="10">
        <v>100</v>
      </c>
      <c r="H20" s="10"/>
      <c r="I20" s="10"/>
      <c r="J20" s="10"/>
      <c r="K20" s="10"/>
      <c r="L20" s="25">
        <v>90.1</v>
      </c>
      <c r="M20" s="2">
        <f t="shared" si="1"/>
        <v>90.1</v>
      </c>
      <c r="N20" s="2">
        <f t="shared" si="2"/>
        <v>136</v>
      </c>
      <c r="O20" s="2">
        <v>36</v>
      </c>
      <c r="P20" s="2">
        <v>100</v>
      </c>
      <c r="Q20" s="2">
        <f t="shared" si="0"/>
        <v>61.33</v>
      </c>
      <c r="R20" s="2">
        <v>49</v>
      </c>
    </row>
    <row r="21" spans="1:18" s="2" customFormat="1" ht="15" customHeight="1" x14ac:dyDescent="0.15">
      <c r="A21" s="7" t="s">
        <v>70</v>
      </c>
      <c r="B21" s="8" t="s">
        <v>71</v>
      </c>
      <c r="C21" s="9" t="s">
        <v>72</v>
      </c>
      <c r="D21" s="10"/>
      <c r="E21" s="10">
        <v>89</v>
      </c>
      <c r="F21" s="10">
        <v>73</v>
      </c>
      <c r="G21" s="10">
        <v>83</v>
      </c>
      <c r="H21" s="10"/>
      <c r="I21" s="10"/>
      <c r="J21" s="25">
        <v>1</v>
      </c>
      <c r="K21" s="10"/>
      <c r="L21" s="10">
        <v>80.800000000000011</v>
      </c>
      <c r="M21" s="2">
        <f t="shared" si="1"/>
        <v>80.800000000000011</v>
      </c>
      <c r="N21" s="2">
        <f t="shared" si="2"/>
        <v>38</v>
      </c>
      <c r="O21" s="2">
        <v>38</v>
      </c>
      <c r="P21" s="41">
        <v>0</v>
      </c>
      <c r="Q21" s="2">
        <f t="shared" si="0"/>
        <v>60.29</v>
      </c>
      <c r="R21" s="2">
        <v>51.5</v>
      </c>
    </row>
    <row r="22" spans="1:18" s="2" customFormat="1" ht="15" customHeight="1" x14ac:dyDescent="0.15">
      <c r="A22" s="7" t="s">
        <v>73</v>
      </c>
      <c r="B22" s="8" t="s">
        <v>74</v>
      </c>
      <c r="C22" s="9" t="s">
        <v>75</v>
      </c>
      <c r="D22" s="10"/>
      <c r="E22" s="10">
        <v>100</v>
      </c>
      <c r="F22" s="10">
        <v>100</v>
      </c>
      <c r="G22" s="10">
        <v>100</v>
      </c>
      <c r="H22" s="10"/>
      <c r="I22" s="10"/>
      <c r="J22" s="10">
        <v>2</v>
      </c>
      <c r="K22" s="10">
        <v>5</v>
      </c>
      <c r="L22" s="10">
        <v>100</v>
      </c>
      <c r="M22" s="2">
        <f t="shared" si="1"/>
        <v>107</v>
      </c>
      <c r="N22" s="2">
        <f t="shared" si="2"/>
        <v>165</v>
      </c>
      <c r="O22" s="2">
        <v>66</v>
      </c>
      <c r="P22" s="2">
        <v>99</v>
      </c>
      <c r="Q22" s="2">
        <f t="shared" si="0"/>
        <v>78.3</v>
      </c>
      <c r="R22" s="2">
        <v>69</v>
      </c>
    </row>
    <row r="23" spans="1:18" s="2" customFormat="1" ht="15" customHeight="1" x14ac:dyDescent="0.15">
      <c r="A23" s="7" t="s">
        <v>76</v>
      </c>
      <c r="B23" s="8" t="s">
        <v>77</v>
      </c>
      <c r="C23" s="9" t="s">
        <v>78</v>
      </c>
      <c r="D23" s="10"/>
      <c r="E23" s="10">
        <v>100</v>
      </c>
      <c r="F23" s="10">
        <v>80</v>
      </c>
      <c r="G23" s="10">
        <v>83</v>
      </c>
      <c r="H23" s="10"/>
      <c r="I23" s="10"/>
      <c r="J23" s="10"/>
      <c r="K23" s="10">
        <v>5</v>
      </c>
      <c r="L23" s="10">
        <v>91.6</v>
      </c>
      <c r="M23" s="2">
        <f t="shared" si="1"/>
        <v>91.6</v>
      </c>
      <c r="N23" s="2">
        <f t="shared" si="2"/>
        <v>54</v>
      </c>
      <c r="O23" s="2">
        <v>54</v>
      </c>
      <c r="P23" s="2">
        <v>0</v>
      </c>
      <c r="Q23" s="2">
        <f t="shared" si="0"/>
        <v>70.88</v>
      </c>
      <c r="R23" s="2">
        <v>62</v>
      </c>
    </row>
    <row r="24" spans="1:18" s="2" customFormat="1" ht="15" customHeight="1" x14ac:dyDescent="0.15">
      <c r="A24" s="7" t="s">
        <v>79</v>
      </c>
      <c r="B24" s="8" t="s">
        <v>80</v>
      </c>
      <c r="C24" s="9" t="s">
        <v>81</v>
      </c>
      <c r="D24" s="10"/>
      <c r="E24" s="10">
        <v>74</v>
      </c>
      <c r="F24" s="10">
        <v>100</v>
      </c>
      <c r="G24" s="10">
        <v>100</v>
      </c>
      <c r="H24" s="10"/>
      <c r="I24" s="10"/>
      <c r="J24" s="10"/>
      <c r="K24" s="10"/>
      <c r="L24" s="10">
        <v>92.2</v>
      </c>
      <c r="M24" s="2">
        <f t="shared" si="1"/>
        <v>92.2</v>
      </c>
      <c r="N24" s="2">
        <f t="shared" si="2"/>
        <v>125</v>
      </c>
      <c r="O24" s="2">
        <v>26</v>
      </c>
      <c r="P24" s="2">
        <v>99</v>
      </c>
      <c r="Q24" s="2">
        <f t="shared" si="0"/>
        <v>79.11</v>
      </c>
      <c r="R24" s="2">
        <v>73.5</v>
      </c>
    </row>
    <row r="25" spans="1:18" s="2" customFormat="1" ht="15" customHeight="1" x14ac:dyDescent="0.15">
      <c r="A25" s="7" t="s">
        <v>82</v>
      </c>
      <c r="B25" s="8" t="s">
        <v>83</v>
      </c>
      <c r="C25" s="9" t="s">
        <v>84</v>
      </c>
      <c r="D25" s="10"/>
      <c r="E25" s="10">
        <v>89</v>
      </c>
      <c r="F25" s="10">
        <v>100</v>
      </c>
      <c r="G25" s="10">
        <v>100</v>
      </c>
      <c r="H25" s="10"/>
      <c r="I25" s="10"/>
      <c r="J25" s="10"/>
      <c r="K25" s="10"/>
      <c r="L25" s="10">
        <v>96.7</v>
      </c>
      <c r="M25" s="2">
        <f t="shared" si="1"/>
        <v>96.7</v>
      </c>
      <c r="N25" s="2">
        <f t="shared" si="2"/>
        <v>132</v>
      </c>
      <c r="O25" s="2">
        <v>56</v>
      </c>
      <c r="P25" s="2">
        <v>76</v>
      </c>
      <c r="Q25" s="2">
        <f t="shared" si="0"/>
        <v>71.709999999999994</v>
      </c>
      <c r="R25" s="2">
        <v>61</v>
      </c>
    </row>
    <row r="26" spans="1:18" s="2" customFormat="1" ht="15" customHeight="1" x14ac:dyDescent="0.15">
      <c r="A26" s="7" t="s">
        <v>85</v>
      </c>
      <c r="B26" s="26" t="s">
        <v>86</v>
      </c>
      <c r="C26" s="9" t="s">
        <v>87</v>
      </c>
      <c r="D26" s="10"/>
      <c r="E26" s="33">
        <v>33</v>
      </c>
      <c r="F26" s="10">
        <v>100</v>
      </c>
      <c r="G26" s="10">
        <v>100</v>
      </c>
      <c r="H26" s="10"/>
      <c r="I26" s="10"/>
      <c r="J26" s="10"/>
      <c r="K26" s="10"/>
      <c r="L26" s="10">
        <v>79.8</v>
      </c>
      <c r="M26" s="2">
        <f t="shared" si="1"/>
        <v>79.900000000000006</v>
      </c>
      <c r="N26" s="2">
        <f t="shared" si="2"/>
        <v>140</v>
      </c>
      <c r="O26" s="2">
        <v>44</v>
      </c>
      <c r="P26" s="2">
        <v>96</v>
      </c>
      <c r="Q26" s="2">
        <f t="shared" si="0"/>
        <v>70.489999999999995</v>
      </c>
      <c r="R26" s="2">
        <v>66.5</v>
      </c>
    </row>
    <row r="27" spans="1:18" s="2" customFormat="1" ht="15" customHeight="1" x14ac:dyDescent="0.15">
      <c r="A27" s="7" t="s">
        <v>88</v>
      </c>
      <c r="B27" s="8" t="s">
        <v>89</v>
      </c>
      <c r="C27" s="9" t="s">
        <v>90</v>
      </c>
      <c r="D27" s="10"/>
      <c r="E27" s="10">
        <v>78</v>
      </c>
      <c r="F27" s="10">
        <v>83</v>
      </c>
      <c r="G27" s="10">
        <v>83</v>
      </c>
      <c r="H27" s="10"/>
      <c r="I27" s="10"/>
      <c r="J27" s="10"/>
      <c r="K27" s="10"/>
      <c r="L27" s="10">
        <v>81.5</v>
      </c>
      <c r="M27" s="2">
        <f t="shared" si="1"/>
        <v>81.5</v>
      </c>
      <c r="N27" s="2">
        <f t="shared" si="2"/>
        <v>46</v>
      </c>
      <c r="O27" s="2">
        <v>46</v>
      </c>
      <c r="P27" s="2">
        <v>0</v>
      </c>
      <c r="Q27" s="2">
        <f t="shared" si="0"/>
        <v>69.599999999999994</v>
      </c>
      <c r="R27" s="2">
        <v>64.5</v>
      </c>
    </row>
    <row r="28" spans="1:18" s="2" customFormat="1" ht="15" customHeight="1" x14ac:dyDescent="0.15">
      <c r="A28" s="7" t="s">
        <v>91</v>
      </c>
      <c r="B28" s="8" t="s">
        <v>92</v>
      </c>
      <c r="C28" s="9" t="s">
        <v>93</v>
      </c>
      <c r="D28" s="10"/>
      <c r="E28" s="10">
        <v>100</v>
      </c>
      <c r="F28" s="10">
        <v>80</v>
      </c>
      <c r="G28" s="10">
        <v>83</v>
      </c>
      <c r="H28" s="10"/>
      <c r="I28" s="10"/>
      <c r="J28" s="10"/>
      <c r="K28" s="10">
        <v>5</v>
      </c>
      <c r="L28" s="10">
        <v>91.6</v>
      </c>
      <c r="M28" s="2">
        <f t="shared" si="1"/>
        <v>91.6</v>
      </c>
      <c r="N28" s="2">
        <f t="shared" si="2"/>
        <v>56</v>
      </c>
      <c r="O28" s="2">
        <v>56</v>
      </c>
      <c r="P28" s="2">
        <v>0</v>
      </c>
      <c r="Q28" s="2">
        <f t="shared" si="0"/>
        <v>72.63</v>
      </c>
      <c r="R28" s="2">
        <v>64.5</v>
      </c>
    </row>
    <row r="29" spans="1:18" s="2" customFormat="1" ht="15" customHeight="1" x14ac:dyDescent="0.15">
      <c r="A29" s="7" t="s">
        <v>94</v>
      </c>
      <c r="B29" s="45" t="s">
        <v>95</v>
      </c>
      <c r="C29" s="44" t="s">
        <v>96</v>
      </c>
      <c r="D29" s="10"/>
      <c r="E29" s="10">
        <v>89</v>
      </c>
      <c r="F29" s="10">
        <v>83</v>
      </c>
      <c r="G29" s="10">
        <v>83</v>
      </c>
      <c r="H29" s="10"/>
      <c r="I29" s="10"/>
      <c r="J29" s="10"/>
      <c r="K29" s="10"/>
      <c r="L29" s="10">
        <v>84.800000000000011</v>
      </c>
      <c r="M29" s="2">
        <f t="shared" si="1"/>
        <v>84.800000000000011</v>
      </c>
      <c r="N29" s="2">
        <f t="shared" si="2"/>
        <v>48</v>
      </c>
      <c r="O29" s="2">
        <v>48</v>
      </c>
      <c r="P29" s="2">
        <v>0</v>
      </c>
      <c r="Q29" s="2">
        <f t="shared" si="0"/>
        <v>54.84</v>
      </c>
      <c r="R29" s="29">
        <v>42</v>
      </c>
    </row>
    <row r="30" spans="1:18" s="2" customFormat="1" ht="15" customHeight="1" x14ac:dyDescent="0.15">
      <c r="A30" s="7" t="s">
        <v>97</v>
      </c>
      <c r="B30" s="24" t="s">
        <v>98</v>
      </c>
      <c r="C30" s="27" t="s">
        <v>99</v>
      </c>
      <c r="D30" s="10"/>
      <c r="E30" s="10">
        <v>56</v>
      </c>
      <c r="F30" s="10">
        <v>100</v>
      </c>
      <c r="G30" s="10">
        <v>100</v>
      </c>
      <c r="H30" s="10"/>
      <c r="I30" s="10"/>
      <c r="J30" s="10"/>
      <c r="K30" s="10"/>
      <c r="L30" s="10">
        <v>86.8</v>
      </c>
      <c r="M30" s="2">
        <f t="shared" si="1"/>
        <v>86.8</v>
      </c>
      <c r="N30" s="2">
        <f t="shared" si="2"/>
        <v>126</v>
      </c>
      <c r="O30" s="2">
        <v>28</v>
      </c>
      <c r="P30" s="2">
        <v>98</v>
      </c>
      <c r="Q30" s="2">
        <f t="shared" si="0"/>
        <v>70.84</v>
      </c>
      <c r="R30" s="2">
        <v>64</v>
      </c>
    </row>
    <row r="31" spans="1:18" s="2" customFormat="1" ht="15" customHeight="1" x14ac:dyDescent="0.15">
      <c r="A31" s="7" t="s">
        <v>100</v>
      </c>
      <c r="B31" s="8" t="s">
        <v>101</v>
      </c>
      <c r="C31" s="9" t="s">
        <v>102</v>
      </c>
      <c r="D31" s="10"/>
      <c r="E31" s="10">
        <v>78</v>
      </c>
      <c r="F31" s="10">
        <v>80</v>
      </c>
      <c r="G31" s="10">
        <v>83</v>
      </c>
      <c r="H31" s="10"/>
      <c r="I31" s="10"/>
      <c r="J31" s="25"/>
      <c r="K31" s="10"/>
      <c r="L31" s="10">
        <v>80</v>
      </c>
      <c r="M31" s="2">
        <f t="shared" si="1"/>
        <v>80</v>
      </c>
      <c r="N31" s="2">
        <f t="shared" si="2"/>
        <v>42</v>
      </c>
      <c r="O31" s="2">
        <v>42</v>
      </c>
      <c r="P31" s="41">
        <v>0</v>
      </c>
      <c r="Q31" s="2">
        <f t="shared" si="0"/>
        <v>68.449999999999989</v>
      </c>
      <c r="R31" s="2">
        <v>63.5</v>
      </c>
    </row>
    <row r="32" spans="1:18" s="2" customFormat="1" ht="15" customHeight="1" x14ac:dyDescent="0.15">
      <c r="A32" s="7" t="s">
        <v>103</v>
      </c>
      <c r="B32" s="8" t="s">
        <v>104</v>
      </c>
      <c r="C32" s="9" t="s">
        <v>105</v>
      </c>
      <c r="D32" s="10"/>
      <c r="E32" s="10">
        <v>100</v>
      </c>
      <c r="F32" s="10">
        <v>100</v>
      </c>
      <c r="G32" s="10">
        <v>100</v>
      </c>
      <c r="H32" s="10"/>
      <c r="I32" s="10"/>
      <c r="J32" s="10">
        <v>1</v>
      </c>
      <c r="K32" s="10">
        <v>5</v>
      </c>
      <c r="L32" s="10">
        <v>100</v>
      </c>
      <c r="M32" s="2">
        <f t="shared" si="1"/>
        <v>106</v>
      </c>
      <c r="N32" s="2">
        <f t="shared" si="2"/>
        <v>177</v>
      </c>
      <c r="O32" s="2">
        <v>90</v>
      </c>
      <c r="P32" s="2">
        <v>87</v>
      </c>
      <c r="Q32" s="2">
        <f t="shared" si="0"/>
        <v>81.8</v>
      </c>
      <c r="R32" s="2">
        <v>74</v>
      </c>
    </row>
    <row r="33" spans="1:18" s="2" customFormat="1" ht="15" customHeight="1" x14ac:dyDescent="0.15">
      <c r="A33" s="7" t="s">
        <v>106</v>
      </c>
      <c r="B33" s="8" t="s">
        <v>107</v>
      </c>
      <c r="C33" s="9" t="s">
        <v>108</v>
      </c>
      <c r="D33" s="10"/>
      <c r="E33" s="10">
        <v>100</v>
      </c>
      <c r="F33" s="10">
        <v>81</v>
      </c>
      <c r="G33" s="10">
        <v>83</v>
      </c>
      <c r="H33" s="10"/>
      <c r="I33" s="10"/>
      <c r="J33" s="10"/>
      <c r="K33" s="10">
        <v>5</v>
      </c>
      <c r="L33" s="10">
        <v>92.1</v>
      </c>
      <c r="M33" s="2">
        <f t="shared" si="1"/>
        <v>92.1</v>
      </c>
      <c r="N33" s="2">
        <f t="shared" si="2"/>
        <v>58</v>
      </c>
      <c r="O33" s="2">
        <v>58</v>
      </c>
      <c r="P33" s="2">
        <v>0</v>
      </c>
      <c r="Q33" s="2">
        <f t="shared" si="0"/>
        <v>67.53</v>
      </c>
      <c r="R33" s="2">
        <v>57</v>
      </c>
    </row>
    <row r="34" spans="1:18" s="2" customFormat="1" ht="15" customHeight="1" x14ac:dyDescent="0.15">
      <c r="A34" s="7" t="s">
        <v>109</v>
      </c>
      <c r="B34" s="30" t="s">
        <v>110</v>
      </c>
      <c r="C34" s="31" t="s">
        <v>111</v>
      </c>
      <c r="D34" s="10"/>
      <c r="E34" s="10"/>
      <c r="F34" s="10"/>
      <c r="G34" s="10">
        <v>83</v>
      </c>
      <c r="H34" s="10"/>
      <c r="I34" s="10"/>
      <c r="J34" s="25"/>
      <c r="K34" s="10"/>
      <c r="L34" s="10"/>
      <c r="N34" s="2">
        <f t="shared" si="2"/>
        <v>0</v>
      </c>
      <c r="P34" s="41">
        <v>0</v>
      </c>
    </row>
    <row r="35" spans="1:18" s="2" customFormat="1" ht="15" customHeight="1" x14ac:dyDescent="0.15">
      <c r="A35" s="7" t="s">
        <v>112</v>
      </c>
      <c r="B35" s="8" t="s">
        <v>113</v>
      </c>
      <c r="C35" s="9" t="s">
        <v>114</v>
      </c>
      <c r="D35" s="10"/>
      <c r="E35" s="10">
        <v>100</v>
      </c>
      <c r="F35" s="10">
        <v>100</v>
      </c>
      <c r="G35" s="10">
        <v>100</v>
      </c>
      <c r="H35" s="10"/>
      <c r="I35" s="10"/>
      <c r="J35" s="10">
        <v>1</v>
      </c>
      <c r="K35" s="10">
        <v>5</v>
      </c>
      <c r="L35" s="10">
        <v>100</v>
      </c>
      <c r="M35" s="2">
        <f t="shared" si="1"/>
        <v>106</v>
      </c>
      <c r="N35" s="2">
        <f t="shared" si="2"/>
        <v>117</v>
      </c>
      <c r="O35" s="2">
        <v>90</v>
      </c>
      <c r="P35" s="2">
        <v>27</v>
      </c>
      <c r="Q35" s="2">
        <f t="shared" si="0"/>
        <v>67.099999999999994</v>
      </c>
      <c r="R35" s="2">
        <v>53</v>
      </c>
    </row>
    <row r="36" spans="1:18" s="2" customFormat="1" ht="15" customHeight="1" x14ac:dyDescent="0.15">
      <c r="A36" s="7" t="s">
        <v>115</v>
      </c>
      <c r="B36" s="26" t="s">
        <v>116</v>
      </c>
      <c r="C36" s="9" t="s">
        <v>117</v>
      </c>
      <c r="D36" s="10"/>
      <c r="E36" s="33">
        <v>44</v>
      </c>
      <c r="F36" s="10">
        <v>81</v>
      </c>
      <c r="G36" s="10">
        <v>83</v>
      </c>
      <c r="H36" s="10"/>
      <c r="I36" s="10"/>
      <c r="J36" s="10"/>
      <c r="K36" s="10"/>
      <c r="L36" s="10">
        <v>70.300000000000011</v>
      </c>
      <c r="M36" s="2">
        <f t="shared" si="1"/>
        <v>70.300000000000011</v>
      </c>
      <c r="N36" s="2">
        <f t="shared" si="2"/>
        <v>0</v>
      </c>
      <c r="O36" s="2">
        <v>0</v>
      </c>
      <c r="P36" s="2">
        <v>0</v>
      </c>
      <c r="Q36" s="2">
        <f t="shared" si="0"/>
        <v>53.64</v>
      </c>
      <c r="R36" s="2">
        <v>46.5</v>
      </c>
    </row>
    <row r="37" spans="1:18" s="2" customFormat="1" ht="15" customHeight="1" x14ac:dyDescent="0.15">
      <c r="A37" s="7" t="s">
        <v>118</v>
      </c>
      <c r="B37" s="26" t="s">
        <v>119</v>
      </c>
      <c r="C37" s="9" t="s">
        <v>120</v>
      </c>
      <c r="D37" s="10"/>
      <c r="E37" s="33">
        <v>56</v>
      </c>
      <c r="F37" s="10">
        <v>95</v>
      </c>
      <c r="G37" s="10">
        <v>100</v>
      </c>
      <c r="H37" s="10"/>
      <c r="I37" s="10"/>
      <c r="J37" s="10"/>
      <c r="K37" s="10"/>
      <c r="L37" s="10">
        <v>84.3</v>
      </c>
      <c r="M37" s="2">
        <f t="shared" si="1"/>
        <v>84.3</v>
      </c>
      <c r="N37" s="2">
        <f t="shared" si="2"/>
        <v>111</v>
      </c>
      <c r="O37" s="2">
        <v>18</v>
      </c>
      <c r="P37" s="2">
        <v>93</v>
      </c>
      <c r="Q37" s="2">
        <f t="shared" si="0"/>
        <v>55.39</v>
      </c>
      <c r="R37" s="29">
        <v>43</v>
      </c>
    </row>
    <row r="38" spans="1:18" s="2" customFormat="1" ht="15" customHeight="1" x14ac:dyDescent="0.15">
      <c r="A38" s="7" t="s">
        <v>121</v>
      </c>
      <c r="B38" s="8" t="s">
        <v>122</v>
      </c>
      <c r="C38" s="9" t="s">
        <v>123</v>
      </c>
      <c r="D38" s="10"/>
      <c r="E38" s="10">
        <v>89</v>
      </c>
      <c r="F38" s="10">
        <v>100</v>
      </c>
      <c r="G38" s="10">
        <v>100</v>
      </c>
      <c r="H38" s="10"/>
      <c r="I38" s="10"/>
      <c r="J38" s="10"/>
      <c r="K38" s="10"/>
      <c r="L38" s="10">
        <v>96.7</v>
      </c>
      <c r="M38" s="2">
        <f>E38*0.3+F38*0.5+G38*0.2+J38+K38</f>
        <v>96.7</v>
      </c>
      <c r="N38" s="2">
        <f t="shared" si="2"/>
        <v>176</v>
      </c>
      <c r="O38" s="2">
        <v>78</v>
      </c>
      <c r="P38" s="2">
        <v>98</v>
      </c>
      <c r="Q38" s="2">
        <f t="shared" si="0"/>
        <v>73.81</v>
      </c>
      <c r="R38" s="2">
        <v>64</v>
      </c>
    </row>
    <row r="39" spans="1:18" s="2" customFormat="1" ht="15" customHeight="1" x14ac:dyDescent="0.15">
      <c r="A39" s="7" t="s">
        <v>124</v>
      </c>
      <c r="B39" s="8" t="s">
        <v>125</v>
      </c>
      <c r="C39" s="9" t="s">
        <v>126</v>
      </c>
      <c r="D39" s="10"/>
      <c r="E39" s="10">
        <v>100</v>
      </c>
      <c r="F39" s="10">
        <v>100</v>
      </c>
      <c r="G39" s="10">
        <v>100</v>
      </c>
      <c r="H39" s="10"/>
      <c r="I39" s="10"/>
      <c r="J39" s="10">
        <v>1</v>
      </c>
      <c r="K39" s="10">
        <v>5</v>
      </c>
      <c r="L39" s="10">
        <v>100</v>
      </c>
      <c r="M39" s="2">
        <f t="shared" si="1"/>
        <v>106</v>
      </c>
      <c r="N39" s="2">
        <f t="shared" si="2"/>
        <v>178</v>
      </c>
      <c r="O39" s="2">
        <v>86</v>
      </c>
      <c r="P39" s="2">
        <v>92</v>
      </c>
      <c r="Q39" s="2">
        <f t="shared" si="0"/>
        <v>90.9</v>
      </c>
      <c r="R39" s="2">
        <v>87</v>
      </c>
    </row>
    <row r="40" spans="1:18" s="2" customFormat="1" ht="15" customHeight="1" x14ac:dyDescent="0.15">
      <c r="A40" s="7" t="s">
        <v>127</v>
      </c>
      <c r="B40" s="8" t="s">
        <v>128</v>
      </c>
      <c r="C40" s="9" t="s">
        <v>129</v>
      </c>
      <c r="D40" s="10"/>
      <c r="E40" s="10">
        <v>89</v>
      </c>
      <c r="F40" s="10">
        <v>100</v>
      </c>
      <c r="G40" s="10">
        <v>100</v>
      </c>
      <c r="H40" s="10"/>
      <c r="I40" s="10"/>
      <c r="J40" s="10"/>
      <c r="K40" s="10"/>
      <c r="L40" s="10">
        <v>96.7</v>
      </c>
      <c r="M40" s="2">
        <f t="shared" si="1"/>
        <v>96.7</v>
      </c>
      <c r="N40" s="2">
        <f t="shared" si="2"/>
        <v>158</v>
      </c>
      <c r="O40" s="2">
        <v>66</v>
      </c>
      <c r="P40" s="2">
        <v>92</v>
      </c>
      <c r="Q40" s="2">
        <f t="shared" si="0"/>
        <v>73.109999999999985</v>
      </c>
      <c r="R40" s="2">
        <v>63</v>
      </c>
    </row>
    <row r="41" spans="1:18" s="2" customFormat="1" ht="15" customHeight="1" x14ac:dyDescent="0.15">
      <c r="A41" s="7" t="s">
        <v>130</v>
      </c>
      <c r="B41" s="8" t="s">
        <v>131</v>
      </c>
      <c r="C41" s="9" t="s">
        <v>132</v>
      </c>
      <c r="D41" s="10"/>
      <c r="E41" s="10">
        <v>67</v>
      </c>
      <c r="F41" s="10">
        <v>70</v>
      </c>
      <c r="G41" s="10">
        <v>83</v>
      </c>
      <c r="H41" s="10"/>
      <c r="I41" s="10"/>
      <c r="J41" s="10"/>
      <c r="K41" s="10"/>
      <c r="L41" s="10">
        <v>71.699999999999989</v>
      </c>
      <c r="M41" s="2">
        <f t="shared" si="1"/>
        <v>71.699999999999989</v>
      </c>
      <c r="N41" s="2">
        <f t="shared" si="2"/>
        <v>46</v>
      </c>
      <c r="O41" s="2">
        <v>46</v>
      </c>
      <c r="P41" s="2">
        <v>0</v>
      </c>
      <c r="Q41" s="2">
        <f t="shared" si="0"/>
        <v>69.459999999999994</v>
      </c>
      <c r="R41" s="2">
        <v>68.5</v>
      </c>
    </row>
    <row r="42" spans="1:18" s="2" customFormat="1" ht="15" customHeight="1" x14ac:dyDescent="0.15">
      <c r="A42" s="7" t="s">
        <v>133</v>
      </c>
      <c r="B42" s="8" t="s">
        <v>134</v>
      </c>
      <c r="C42" s="9" t="s">
        <v>135</v>
      </c>
      <c r="D42" s="10"/>
      <c r="E42" s="10">
        <v>100</v>
      </c>
      <c r="F42" s="10">
        <v>100</v>
      </c>
      <c r="G42" s="10">
        <v>100</v>
      </c>
      <c r="H42" s="10"/>
      <c r="I42" s="10"/>
      <c r="J42" s="10">
        <v>1</v>
      </c>
      <c r="K42" s="10">
        <v>5</v>
      </c>
      <c r="L42" s="10">
        <v>100</v>
      </c>
      <c r="M42" s="2">
        <f t="shared" si="1"/>
        <v>106</v>
      </c>
      <c r="N42" s="2">
        <f t="shared" si="2"/>
        <v>184</v>
      </c>
      <c r="O42" s="2">
        <v>86</v>
      </c>
      <c r="P42" s="2">
        <v>98</v>
      </c>
      <c r="Q42" s="2">
        <f t="shared" si="0"/>
        <v>87.75</v>
      </c>
      <c r="R42" s="2">
        <v>82.5</v>
      </c>
    </row>
    <row r="43" spans="1:18" s="2" customFormat="1" ht="15" customHeight="1" x14ac:dyDescent="0.15">
      <c r="A43" s="7" t="s">
        <v>136</v>
      </c>
      <c r="B43" s="8" t="s">
        <v>137</v>
      </c>
      <c r="C43" s="9" t="s">
        <v>138</v>
      </c>
      <c r="D43" s="10"/>
      <c r="E43" s="10">
        <v>100</v>
      </c>
      <c r="F43" s="10">
        <v>100</v>
      </c>
      <c r="G43" s="10">
        <v>100</v>
      </c>
      <c r="H43" s="10"/>
      <c r="I43" s="10"/>
      <c r="J43" s="10">
        <v>2</v>
      </c>
      <c r="K43" s="10">
        <v>5</v>
      </c>
      <c r="L43" s="10">
        <v>100</v>
      </c>
      <c r="M43" s="2">
        <f t="shared" si="1"/>
        <v>107</v>
      </c>
      <c r="N43" s="2">
        <f t="shared" si="2"/>
        <v>176</v>
      </c>
      <c r="O43" s="2">
        <v>80</v>
      </c>
      <c r="P43" s="2">
        <v>96</v>
      </c>
      <c r="Q43" s="2">
        <f t="shared" si="0"/>
        <v>72.349999999999994</v>
      </c>
      <c r="R43" s="2">
        <v>60.5</v>
      </c>
    </row>
    <row r="44" spans="1:18" s="2" customFormat="1" ht="15" customHeight="1" x14ac:dyDescent="0.15">
      <c r="A44" s="7" t="s">
        <v>139</v>
      </c>
      <c r="B44" s="26" t="s">
        <v>140</v>
      </c>
      <c r="C44" s="9" t="s">
        <v>141</v>
      </c>
      <c r="D44" s="10"/>
      <c r="E44" s="33">
        <v>44</v>
      </c>
      <c r="F44" s="10">
        <v>80</v>
      </c>
      <c r="G44" s="10">
        <v>83</v>
      </c>
      <c r="H44" s="10"/>
      <c r="I44" s="10"/>
      <c r="J44" s="25"/>
      <c r="K44" s="10"/>
      <c r="L44" s="10">
        <v>69.800000000000011</v>
      </c>
      <c r="M44" s="2">
        <f t="shared" si="1"/>
        <v>69.800000000000011</v>
      </c>
      <c r="N44" s="2">
        <f t="shared" si="2"/>
        <v>20</v>
      </c>
      <c r="O44" s="2">
        <v>20</v>
      </c>
      <c r="P44" s="41">
        <v>0</v>
      </c>
      <c r="Q44" s="2">
        <f t="shared" si="0"/>
        <v>61.19</v>
      </c>
      <c r="R44" s="2">
        <v>57.5</v>
      </c>
    </row>
    <row r="45" spans="1:18" s="2" customFormat="1" ht="15" customHeight="1" x14ac:dyDescent="0.15">
      <c r="A45" s="7" t="s">
        <v>142</v>
      </c>
      <c r="B45" s="8" t="s">
        <v>143</v>
      </c>
      <c r="C45" s="9" t="s">
        <v>144</v>
      </c>
      <c r="D45" s="10"/>
      <c r="E45" s="10">
        <v>89</v>
      </c>
      <c r="F45" s="10">
        <v>100</v>
      </c>
      <c r="G45" s="10">
        <v>100</v>
      </c>
      <c r="H45" s="10"/>
      <c r="I45" s="10"/>
      <c r="J45" s="10">
        <v>2</v>
      </c>
      <c r="K45" s="10"/>
      <c r="L45" s="10">
        <v>98.7</v>
      </c>
      <c r="M45" s="2">
        <f t="shared" si="1"/>
        <v>98.7</v>
      </c>
      <c r="N45" s="2">
        <f t="shared" si="2"/>
        <v>176</v>
      </c>
      <c r="O45" s="2">
        <v>78</v>
      </c>
      <c r="P45" s="2">
        <v>98</v>
      </c>
      <c r="Q45" s="2">
        <f t="shared" si="0"/>
        <v>82.46</v>
      </c>
      <c r="R45" s="2">
        <v>75.5</v>
      </c>
    </row>
    <row r="46" spans="1:18" s="2" customFormat="1" ht="15" customHeight="1" x14ac:dyDescent="0.15">
      <c r="A46" s="7" t="s">
        <v>145</v>
      </c>
      <c r="B46" s="8" t="s">
        <v>146</v>
      </c>
      <c r="C46" s="9" t="s">
        <v>147</v>
      </c>
      <c r="D46" s="10"/>
      <c r="E46" s="10">
        <v>100</v>
      </c>
      <c r="F46" s="10">
        <v>100</v>
      </c>
      <c r="G46" s="10">
        <v>100</v>
      </c>
      <c r="H46" s="10"/>
      <c r="I46" s="10"/>
      <c r="J46" s="10">
        <v>3</v>
      </c>
      <c r="K46" s="10">
        <v>5</v>
      </c>
      <c r="L46" s="10">
        <v>100</v>
      </c>
      <c r="M46" s="2">
        <f t="shared" si="1"/>
        <v>108</v>
      </c>
      <c r="N46" s="2">
        <f t="shared" si="2"/>
        <v>187</v>
      </c>
      <c r="O46" s="2">
        <v>90</v>
      </c>
      <c r="P46" s="2">
        <v>97</v>
      </c>
      <c r="Q46" s="2">
        <f t="shared" si="0"/>
        <v>97.55</v>
      </c>
      <c r="R46" s="2">
        <v>96.5</v>
      </c>
    </row>
    <row r="47" spans="1:18" s="2" customFormat="1" ht="15" customHeight="1" x14ac:dyDescent="0.15">
      <c r="A47" s="7" t="s">
        <v>148</v>
      </c>
      <c r="B47" s="8" t="s">
        <v>149</v>
      </c>
      <c r="C47" s="9" t="s">
        <v>150</v>
      </c>
      <c r="D47" s="10"/>
      <c r="E47" s="10">
        <v>89</v>
      </c>
      <c r="F47" s="10">
        <v>100</v>
      </c>
      <c r="G47" s="10">
        <v>100</v>
      </c>
      <c r="H47" s="10"/>
      <c r="I47" s="10"/>
      <c r="J47" s="10"/>
      <c r="K47" s="10"/>
      <c r="L47" s="10">
        <v>96.7</v>
      </c>
      <c r="M47" s="2">
        <f t="shared" si="1"/>
        <v>96.7</v>
      </c>
      <c r="N47" s="2">
        <f t="shared" si="2"/>
        <v>166</v>
      </c>
      <c r="O47" s="2">
        <v>68</v>
      </c>
      <c r="P47" s="2">
        <v>98</v>
      </c>
      <c r="Q47" s="2">
        <f t="shared" si="0"/>
        <v>96.91</v>
      </c>
      <c r="R47" s="2">
        <v>97</v>
      </c>
    </row>
    <row r="48" spans="1:18" s="2" customFormat="1" ht="15" customHeight="1" x14ac:dyDescent="0.15">
      <c r="A48" s="7" t="s">
        <v>151</v>
      </c>
      <c r="B48" s="8" t="s">
        <v>152</v>
      </c>
      <c r="C48" s="31" t="s">
        <v>153</v>
      </c>
      <c r="D48" s="10"/>
      <c r="E48" s="10">
        <v>78</v>
      </c>
      <c r="F48" s="10">
        <v>100</v>
      </c>
      <c r="G48" s="10">
        <v>100</v>
      </c>
      <c r="H48" s="10"/>
      <c r="I48" s="10"/>
      <c r="J48" s="10"/>
      <c r="K48" s="10"/>
      <c r="L48" s="10">
        <v>93.4</v>
      </c>
      <c r="M48" s="2">
        <f t="shared" si="1"/>
        <v>93.4</v>
      </c>
      <c r="N48" s="2">
        <f t="shared" si="2"/>
        <v>173</v>
      </c>
      <c r="O48" s="2">
        <v>78</v>
      </c>
      <c r="P48" s="2">
        <v>95</v>
      </c>
      <c r="Q48" s="2">
        <f t="shared" si="0"/>
        <v>54.97</v>
      </c>
      <c r="R48" s="29">
        <v>38.5</v>
      </c>
    </row>
    <row r="49" spans="1:19" s="2" customFormat="1" ht="15" customHeight="1" x14ac:dyDescent="0.15">
      <c r="A49" s="7" t="s">
        <v>154</v>
      </c>
      <c r="B49" s="8" t="s">
        <v>155</v>
      </c>
      <c r="C49" s="9" t="s">
        <v>156</v>
      </c>
      <c r="D49" s="10"/>
      <c r="E49" s="10">
        <v>78</v>
      </c>
      <c r="F49" s="10">
        <v>100</v>
      </c>
      <c r="G49" s="10">
        <v>100</v>
      </c>
      <c r="H49" s="10"/>
      <c r="I49" s="10"/>
      <c r="J49" s="10">
        <v>2</v>
      </c>
      <c r="K49" s="10"/>
      <c r="L49" s="10">
        <v>95.4</v>
      </c>
      <c r="M49" s="2">
        <f t="shared" si="1"/>
        <v>95.4</v>
      </c>
      <c r="N49" s="2">
        <f t="shared" si="2"/>
        <v>138</v>
      </c>
      <c r="O49" s="2">
        <v>38</v>
      </c>
      <c r="P49" s="2">
        <v>100</v>
      </c>
      <c r="Q49" s="2">
        <f t="shared" si="0"/>
        <v>72.02</v>
      </c>
      <c r="R49" s="2">
        <v>62</v>
      </c>
    </row>
    <row r="50" spans="1:19" ht="15" customHeight="1" x14ac:dyDescent="0.15"/>
    <row r="51" spans="1:19" ht="30.75" customHeight="1" x14ac:dyDescent="0.15">
      <c r="A51" s="64" t="s">
        <v>0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</row>
    <row r="52" spans="1:19" s="1" customFormat="1" ht="16.5" customHeight="1" x14ac:dyDescent="0.15">
      <c r="A52" s="62" t="s">
        <v>21</v>
      </c>
      <c r="B52" s="62"/>
      <c r="C52" s="62"/>
      <c r="D52" s="63" t="s">
        <v>22</v>
      </c>
      <c r="E52" s="63"/>
      <c r="F52" s="63"/>
      <c r="G52" s="63" t="s">
        <v>23</v>
      </c>
      <c r="H52" s="63"/>
      <c r="I52" s="63"/>
      <c r="J52" s="63" t="s">
        <v>24</v>
      </c>
      <c r="K52" s="63"/>
      <c r="L52" s="63"/>
      <c r="M52" s="34"/>
      <c r="N52" s="34"/>
      <c r="O52" s="34"/>
      <c r="P52" s="40"/>
    </row>
    <row r="53" spans="1:19" s="2" customFormat="1" ht="15.75" customHeight="1" x14ac:dyDescent="0.15">
      <c r="A53" s="59" t="s">
        <v>1</v>
      </c>
      <c r="B53" s="60" t="s">
        <v>2</v>
      </c>
      <c r="C53" s="61" t="s">
        <v>3</v>
      </c>
      <c r="D53" s="58" t="s">
        <v>4</v>
      </c>
      <c r="E53" s="58"/>
      <c r="F53" s="58"/>
      <c r="G53" s="58"/>
      <c r="H53" s="58"/>
      <c r="I53" s="58"/>
      <c r="J53" s="58"/>
      <c r="K53" s="58"/>
      <c r="L53" s="52" t="s">
        <v>5</v>
      </c>
      <c r="M53" s="36"/>
      <c r="N53" s="36"/>
      <c r="O53" s="36"/>
    </row>
    <row r="54" spans="1:19" s="2" customFormat="1" ht="15.75" customHeight="1" x14ac:dyDescent="0.15">
      <c r="A54" s="59"/>
      <c r="B54" s="60"/>
      <c r="C54" s="61"/>
      <c r="D54" s="51" t="s">
        <v>6</v>
      </c>
      <c r="E54" s="51" t="s">
        <v>7</v>
      </c>
      <c r="F54" s="51" t="s">
        <v>8</v>
      </c>
      <c r="G54" s="51" t="s">
        <v>9</v>
      </c>
      <c r="H54" s="51"/>
      <c r="I54" s="51"/>
      <c r="J54" s="51"/>
      <c r="K54" s="51"/>
      <c r="L54" s="52"/>
      <c r="M54" s="36"/>
      <c r="N54" s="36"/>
      <c r="O54" s="36"/>
    </row>
    <row r="55" spans="1:19" s="2" customFormat="1" ht="15.75" customHeight="1" x14ac:dyDescent="0.15">
      <c r="A55" s="59"/>
      <c r="B55" s="60"/>
      <c r="C55" s="61"/>
      <c r="D55" s="51"/>
      <c r="E55" s="51"/>
      <c r="F55" s="51"/>
      <c r="G55" s="51"/>
      <c r="H55" s="51"/>
      <c r="I55" s="51"/>
      <c r="J55" s="51"/>
      <c r="K55" s="51"/>
      <c r="L55" s="52"/>
      <c r="M55" s="36"/>
      <c r="N55" s="36"/>
      <c r="O55" s="36"/>
    </row>
    <row r="56" spans="1:19" s="2" customFormat="1" ht="15" customHeight="1" x14ac:dyDescent="0.15">
      <c r="A56" s="7" t="s">
        <v>157</v>
      </c>
      <c r="B56" s="8" t="s">
        <v>158</v>
      </c>
      <c r="C56" s="9" t="s">
        <v>159</v>
      </c>
      <c r="D56" s="10"/>
      <c r="E56" s="10">
        <v>89</v>
      </c>
      <c r="F56" s="10">
        <v>100</v>
      </c>
      <c r="G56" s="10">
        <v>100</v>
      </c>
      <c r="H56" s="10"/>
      <c r="I56" s="10"/>
      <c r="J56" s="10"/>
      <c r="K56" s="10"/>
      <c r="L56" s="10">
        <v>96.7</v>
      </c>
      <c r="M56" s="2">
        <f>E56*0.3+F56*0.5+G56*0.2+J56+K56</f>
        <v>96.7</v>
      </c>
      <c r="N56" s="2">
        <f>O56+P56</f>
        <v>159</v>
      </c>
      <c r="O56" s="2">
        <v>62</v>
      </c>
      <c r="P56" s="2">
        <v>97</v>
      </c>
      <c r="Q56" s="2">
        <f>L56*0.3+R56*0.7</f>
        <v>92.359999999999985</v>
      </c>
      <c r="R56" s="2">
        <v>90.5</v>
      </c>
    </row>
    <row r="57" spans="1:19" s="2" customFormat="1" ht="15" customHeight="1" x14ac:dyDescent="0.15">
      <c r="A57" s="32" t="s">
        <v>160</v>
      </c>
      <c r="B57" s="30" t="s">
        <v>161</v>
      </c>
      <c r="C57" s="31" t="s">
        <v>162</v>
      </c>
      <c r="D57" s="33"/>
      <c r="E57" s="10">
        <v>89</v>
      </c>
      <c r="F57" s="10">
        <v>100</v>
      </c>
      <c r="G57" s="10">
        <v>100</v>
      </c>
      <c r="H57" s="10"/>
      <c r="I57" s="10"/>
      <c r="J57" s="10"/>
      <c r="K57" s="10"/>
      <c r="L57" s="10">
        <v>96.7</v>
      </c>
      <c r="M57" s="2">
        <f t="shared" ref="M57:M58" si="3">E57*0.3+F57*0.5+G57*0.2+J57+K57</f>
        <v>96.7</v>
      </c>
      <c r="N57" s="2">
        <f t="shared" ref="N57:N58" si="4">O57+P57</f>
        <v>164</v>
      </c>
      <c r="O57" s="2">
        <v>68</v>
      </c>
      <c r="P57" s="2">
        <v>96</v>
      </c>
      <c r="S57" s="2" t="s">
        <v>172</v>
      </c>
    </row>
    <row r="58" spans="1:19" s="2" customFormat="1" ht="15" customHeight="1" x14ac:dyDescent="0.15">
      <c r="A58" s="7" t="s">
        <v>163</v>
      </c>
      <c r="B58" s="28" t="s">
        <v>164</v>
      </c>
      <c r="C58" s="31" t="s">
        <v>165</v>
      </c>
      <c r="D58" s="10"/>
      <c r="E58" s="25">
        <v>44</v>
      </c>
      <c r="F58" s="10">
        <v>78</v>
      </c>
      <c r="G58" s="10">
        <v>100</v>
      </c>
      <c r="H58" s="10"/>
      <c r="I58" s="10"/>
      <c r="J58" s="10"/>
      <c r="K58" s="10"/>
      <c r="L58" s="10">
        <v>72.2</v>
      </c>
      <c r="M58" s="2">
        <f t="shared" si="3"/>
        <v>72.2</v>
      </c>
      <c r="N58" s="2">
        <f t="shared" si="4"/>
        <v>113</v>
      </c>
      <c r="O58" s="2">
        <v>22</v>
      </c>
      <c r="P58" s="2">
        <v>91</v>
      </c>
      <c r="Q58" s="41">
        <f t="shared" ref="Q58:Q59" si="5">L58*0.3+R58*0.7</f>
        <v>50.36</v>
      </c>
      <c r="R58" s="29">
        <v>41</v>
      </c>
    </row>
    <row r="59" spans="1:19" s="2" customFormat="1" ht="15" customHeight="1" x14ac:dyDescent="0.15">
      <c r="A59" s="7" t="s">
        <v>166</v>
      </c>
      <c r="B59" s="30" t="s">
        <v>167</v>
      </c>
      <c r="C59" s="31" t="s">
        <v>168</v>
      </c>
      <c r="D59" s="10"/>
      <c r="E59" s="33">
        <v>60</v>
      </c>
      <c r="F59" s="33">
        <v>60</v>
      </c>
      <c r="G59" s="33">
        <v>60</v>
      </c>
      <c r="H59" s="33"/>
      <c r="I59" s="33"/>
      <c r="J59" s="33"/>
      <c r="K59" s="33"/>
      <c r="L59" s="33">
        <v>60</v>
      </c>
      <c r="M59" s="29"/>
      <c r="N59" s="29"/>
      <c r="O59" s="29"/>
      <c r="Q59" s="41">
        <f t="shared" si="5"/>
        <v>55.099999999999994</v>
      </c>
      <c r="R59" s="41">
        <v>53</v>
      </c>
    </row>
    <row r="60" spans="1:19" s="3" customFormat="1" ht="12" x14ac:dyDescent="0.15">
      <c r="B60" s="11"/>
      <c r="C60" s="12"/>
    </row>
    <row r="61" spans="1:19" x14ac:dyDescent="0.15">
      <c r="A61" s="53" t="s">
        <v>10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35"/>
      <c r="N61" s="35"/>
      <c r="O61" s="35"/>
      <c r="P61" s="42"/>
    </row>
    <row r="62" spans="1:19" x14ac:dyDescent="0.15">
      <c r="A62" s="54" t="s">
        <v>11</v>
      </c>
      <c r="B62" s="55"/>
      <c r="C62" s="6" t="s">
        <v>12</v>
      </c>
      <c r="D62" s="6" t="s">
        <v>13</v>
      </c>
      <c r="E62" s="6" t="s">
        <v>14</v>
      </c>
      <c r="F62" s="6" t="s">
        <v>15</v>
      </c>
      <c r="G62" s="6" t="s">
        <v>16</v>
      </c>
      <c r="H62" s="54" t="s">
        <v>17</v>
      </c>
      <c r="I62" s="56"/>
      <c r="J62" s="55"/>
      <c r="K62" s="57" t="s">
        <v>18</v>
      </c>
      <c r="L62" s="57"/>
      <c r="M62" s="37"/>
      <c r="N62" s="37"/>
      <c r="O62" s="37"/>
      <c r="P62" s="43"/>
    </row>
    <row r="63" spans="1:19" x14ac:dyDescent="0.15">
      <c r="A63" s="47"/>
      <c r="B63" s="47"/>
      <c r="C63" s="13"/>
      <c r="D63" s="13"/>
      <c r="E63" s="13"/>
      <c r="F63" s="14"/>
      <c r="G63" s="14"/>
      <c r="H63" s="48"/>
      <c r="I63" s="49"/>
      <c r="J63" s="50"/>
      <c r="K63" s="47"/>
      <c r="L63" s="47"/>
      <c r="M63" s="38"/>
      <c r="N63" s="38"/>
      <c r="O63" s="38"/>
    </row>
    <row r="64" spans="1:19" x14ac:dyDescent="0.15">
      <c r="B64" s="20"/>
      <c r="C64" s="21"/>
      <c r="D64" s="22"/>
    </row>
    <row r="66" spans="2:16" x14ac:dyDescent="0.15">
      <c r="B66" s="15" t="s">
        <v>19</v>
      </c>
      <c r="C66" s="16"/>
      <c r="D66" s="17"/>
      <c r="F66" s="15" t="s">
        <v>20</v>
      </c>
      <c r="H66" s="18"/>
      <c r="J66" s="17"/>
      <c r="K66" s="19"/>
      <c r="L66" s="19"/>
      <c r="M66" s="39"/>
      <c r="N66" s="39"/>
      <c r="O66" s="39"/>
      <c r="P66" s="39"/>
    </row>
  </sheetData>
  <mergeCells count="43">
    <mergeCell ref="G54:G55"/>
    <mergeCell ref="H54:H55"/>
    <mergeCell ref="I54:I55"/>
    <mergeCell ref="E54:E55"/>
    <mergeCell ref="H4:H5"/>
    <mergeCell ref="I4:I5"/>
    <mergeCell ref="A51:P51"/>
    <mergeCell ref="A52:C52"/>
    <mergeCell ref="D52:F52"/>
    <mergeCell ref="G52:I52"/>
    <mergeCell ref="J52:L52"/>
    <mergeCell ref="L3:L5"/>
    <mergeCell ref="J4:J5"/>
    <mergeCell ref="D3:K3"/>
    <mergeCell ref="A3:A5"/>
    <mergeCell ref="B3:B5"/>
    <mergeCell ref="A2:C2"/>
    <mergeCell ref="D2:F2"/>
    <mergeCell ref="G2:I2"/>
    <mergeCell ref="J2:L2"/>
    <mergeCell ref="A1:L1"/>
    <mergeCell ref="C3:C5"/>
    <mergeCell ref="E4:E5"/>
    <mergeCell ref="F4:F5"/>
    <mergeCell ref="G4:G5"/>
    <mergeCell ref="K4:K5"/>
    <mergeCell ref="D4:D5"/>
    <mergeCell ref="A63:B63"/>
    <mergeCell ref="H63:J63"/>
    <mergeCell ref="K63:L63"/>
    <mergeCell ref="J54:J55"/>
    <mergeCell ref="K54:K55"/>
    <mergeCell ref="L53:L55"/>
    <mergeCell ref="A61:L61"/>
    <mergeCell ref="A62:B62"/>
    <mergeCell ref="H62:J62"/>
    <mergeCell ref="K62:L62"/>
    <mergeCell ref="D53:K53"/>
    <mergeCell ref="A53:A55"/>
    <mergeCell ref="B53:B55"/>
    <mergeCell ref="C53:C55"/>
    <mergeCell ref="D54:D55"/>
    <mergeCell ref="F54:F55"/>
  </mergeCells>
  <phoneticPr fontId="25" type="noConversion"/>
  <conditionalFormatting sqref="Q6:Q49">
    <cfRule type="cellIs" dxfId="0" priority="1" operator="lessThan">
      <formula>60</formula>
    </cfRule>
  </conditionalFormatting>
  <pageMargins left="0.10972222222222222" right="0.10972222222222222" top="0.38124999999999998" bottom="0.5" header="0.38124999999999998" footer="0.5"/>
  <pageSetup paperSize="9" orientation="portrait" horizontalDpi="300" verticalDpi="300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A80B-C9BE-4C8E-9B36-41A92624B86A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B962-24E8-4FCB-8AA4-FB915B1820BA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2026-01-16T08:39:27Z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465142FB7E734200B7D22FC9451970B4_13</vt:lpwstr>
  </property>
  <property fmtid="{D5CDD505-2E9C-101B-9397-08002B2CF9AE}" pid="3" name="KSOProductBuildVer">
    <vt:lpwstr>2052-12.1.0.23125</vt:lpwstr>
  </property>
</Properties>
</file>