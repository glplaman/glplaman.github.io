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D:\glplaman.github.io\network\file\"/>
    </mc:Choice>
  </mc:AlternateContent>
  <xr:revisionPtr revIDLastSave="0" documentId="13_ncr:1_{5E7DC626-8075-48B9-A697-3F83D4667B88}" xr6:coauthVersionLast="47" xr6:coauthVersionMax="47" xr10:uidLastSave="{00000000-0000-0000-0000-000000000000}"/>
  <bookViews>
    <workbookView xWindow="-105" yWindow="0" windowWidth="8430" windowHeight="15585" xr2:uid="{A689E0DD-08C6-4720-86D0-7A22CF59F62D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N57" i="1" l="1"/>
  <c r="N56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10" i="1"/>
  <c r="O57" i="1"/>
  <c r="O56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10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6" i="1"/>
  <c r="V57" i="1"/>
  <c r="V6" i="1"/>
</calcChain>
</file>

<file path=xl/sharedStrings.xml><?xml version="1.0" encoding="utf-8"?>
<sst xmlns="http://schemas.openxmlformats.org/spreadsheetml/2006/main" count="186" uniqueCount="172">
  <si>
    <t>广州华立学院学生平时成绩登记表</t>
  </si>
  <si>
    <t>序号</t>
  </si>
  <si>
    <t>学号</t>
  </si>
  <si>
    <t>姓名</t>
  </si>
  <si>
    <t>平时成绩</t>
  </si>
  <si>
    <t>平时总评成绩</t>
  </si>
  <si>
    <t>例：</t>
  </si>
  <si>
    <t>平时考勤</t>
  </si>
  <si>
    <t>平时作业</t>
  </si>
  <si>
    <t>课堂表现</t>
  </si>
  <si>
    <t>成    绩    总    结</t>
  </si>
  <si>
    <t>应考人数</t>
  </si>
  <si>
    <t>缺考人数</t>
  </si>
  <si>
    <t>100-90分</t>
  </si>
  <si>
    <t>89-80分</t>
  </si>
  <si>
    <t>79-70分</t>
  </si>
  <si>
    <t>69-60分</t>
  </si>
  <si>
    <t>59分及其以下</t>
  </si>
  <si>
    <t>平均分</t>
  </si>
  <si>
    <t>教师签字：</t>
  </si>
  <si>
    <t>专业负责人（教研室主任）签字：</t>
  </si>
  <si>
    <t>开课学期：2025-2026-1</t>
  </si>
  <si>
    <t>课程：计算机网络</t>
  </si>
  <si>
    <t>教师：陈瑶,张树彬</t>
  </si>
  <si>
    <t>班级：24计算机2班</t>
  </si>
  <si>
    <t>1</t>
  </si>
  <si>
    <t>5123210101893</t>
  </si>
  <si>
    <t>邓玉奇</t>
  </si>
  <si>
    <t>2</t>
  </si>
  <si>
    <t>5123210101927</t>
  </si>
  <si>
    <t>文长培</t>
  </si>
  <si>
    <t>3</t>
  </si>
  <si>
    <t>5112221030202</t>
  </si>
  <si>
    <t>江博东</t>
  </si>
  <si>
    <t>4</t>
  </si>
  <si>
    <t>5112221010627</t>
  </si>
  <si>
    <t>欧阳邱鼎</t>
  </si>
  <si>
    <t>5</t>
  </si>
  <si>
    <t>5123210105333</t>
  </si>
  <si>
    <t>张斯博</t>
  </si>
  <si>
    <t>6</t>
  </si>
  <si>
    <t>5124210101532</t>
  </si>
  <si>
    <t>胡铭旌</t>
  </si>
  <si>
    <t>7</t>
  </si>
  <si>
    <t>5124210101533</t>
  </si>
  <si>
    <t>张斐俊</t>
  </si>
  <si>
    <t>8</t>
  </si>
  <si>
    <t>5124210101534</t>
  </si>
  <si>
    <t>温浩文</t>
  </si>
  <si>
    <t>9</t>
  </si>
  <si>
    <t>5124210101537</t>
  </si>
  <si>
    <t>胡桌维</t>
  </si>
  <si>
    <t>10</t>
  </si>
  <si>
    <t>5124210101538</t>
  </si>
  <si>
    <t>元以冲</t>
  </si>
  <si>
    <t>11</t>
  </si>
  <si>
    <t>5124210101539</t>
  </si>
  <si>
    <t>程铢涛</t>
  </si>
  <si>
    <t>12</t>
  </si>
  <si>
    <t>5124210101541</t>
  </si>
  <si>
    <t>陈苇洋</t>
  </si>
  <si>
    <t>13</t>
  </si>
  <si>
    <t>5124210101542</t>
  </si>
  <si>
    <t>练庆云</t>
  </si>
  <si>
    <t>14</t>
  </si>
  <si>
    <t>5124210101544</t>
  </si>
  <si>
    <t>卢文辉</t>
  </si>
  <si>
    <t>15</t>
  </si>
  <si>
    <t>5124210101545</t>
  </si>
  <si>
    <t>梁宇</t>
  </si>
  <si>
    <t>16</t>
  </si>
  <si>
    <t>5124210101546</t>
  </si>
  <si>
    <t>刘嘉豪</t>
  </si>
  <si>
    <t>17</t>
  </si>
  <si>
    <t>5124210101548</t>
  </si>
  <si>
    <t>黄文华</t>
  </si>
  <si>
    <t>18</t>
  </si>
  <si>
    <t>5124210101549</t>
  </si>
  <si>
    <t>苏钊尉</t>
  </si>
  <si>
    <t>19</t>
  </si>
  <si>
    <t>5124210101550</t>
  </si>
  <si>
    <t>伍海荣</t>
  </si>
  <si>
    <t>20</t>
  </si>
  <si>
    <t>5124210101551</t>
  </si>
  <si>
    <t>苏冠朗</t>
  </si>
  <si>
    <t>21</t>
  </si>
  <si>
    <t>5124210101555</t>
  </si>
  <si>
    <t>曹书源</t>
  </si>
  <si>
    <t>22</t>
  </si>
  <si>
    <t>5124210101556</t>
  </si>
  <si>
    <t>陈嘉鹏</t>
  </si>
  <si>
    <t>23</t>
  </si>
  <si>
    <t>5124210101557</t>
  </si>
  <si>
    <t>赖奕政</t>
  </si>
  <si>
    <t>24</t>
  </si>
  <si>
    <t>5124210101558</t>
  </si>
  <si>
    <t>林岂葳</t>
  </si>
  <si>
    <t>25</t>
  </si>
  <si>
    <t>5124210101560</t>
  </si>
  <si>
    <t>邓阳</t>
  </si>
  <si>
    <t>26</t>
  </si>
  <si>
    <t>5124210104796</t>
  </si>
  <si>
    <t>王赐安</t>
  </si>
  <si>
    <t>27</t>
  </si>
  <si>
    <t>5124210104797</t>
  </si>
  <si>
    <t>李俊</t>
  </si>
  <si>
    <t>28</t>
  </si>
  <si>
    <t>5124210104818</t>
  </si>
  <si>
    <t>卫炳丞</t>
  </si>
  <si>
    <t>29</t>
  </si>
  <si>
    <t>5124210104821</t>
  </si>
  <si>
    <t>徐正宇</t>
  </si>
  <si>
    <t>30</t>
  </si>
  <si>
    <t>5124210104852</t>
  </si>
  <si>
    <t>刘兴旺</t>
  </si>
  <si>
    <t>31</t>
  </si>
  <si>
    <t>5124210104853</t>
  </si>
  <si>
    <t>莫迪</t>
  </si>
  <si>
    <t>32</t>
  </si>
  <si>
    <t>5124210104854</t>
  </si>
  <si>
    <t>卢嘉熙</t>
  </si>
  <si>
    <t>33</t>
  </si>
  <si>
    <t>5124210104956</t>
  </si>
  <si>
    <t>肖佳庆</t>
  </si>
  <si>
    <t>34</t>
  </si>
  <si>
    <t>5124230802431</t>
  </si>
  <si>
    <t>曾嘉俊</t>
  </si>
  <si>
    <t>35</t>
  </si>
  <si>
    <t>5124460104414</t>
  </si>
  <si>
    <t>余庆民</t>
  </si>
  <si>
    <t>36</t>
  </si>
  <si>
    <t>5224210101535</t>
  </si>
  <si>
    <t>陈奕欣</t>
  </si>
  <si>
    <t>37</t>
  </si>
  <si>
    <t>5224210101536</t>
  </si>
  <si>
    <t>黄安怡</t>
  </si>
  <si>
    <t>38</t>
  </si>
  <si>
    <t>5224210101540</t>
  </si>
  <si>
    <t>陈妍希</t>
  </si>
  <si>
    <t>39</t>
  </si>
  <si>
    <t>5224210101547</t>
  </si>
  <si>
    <t>林素静</t>
  </si>
  <si>
    <t>40</t>
  </si>
  <si>
    <t>5224210101553</t>
  </si>
  <si>
    <t>王瑜涵</t>
  </si>
  <si>
    <t>41</t>
  </si>
  <si>
    <t>5224210101554</t>
  </si>
  <si>
    <t>黄洁</t>
  </si>
  <si>
    <t>42</t>
  </si>
  <si>
    <t>5224210101559</t>
  </si>
  <si>
    <t>徐小慧</t>
  </si>
  <si>
    <t>43</t>
  </si>
  <si>
    <t>5224210104795</t>
  </si>
  <si>
    <t>田艺琦</t>
  </si>
  <si>
    <t>44</t>
  </si>
  <si>
    <t>5224210104855</t>
  </si>
  <si>
    <t>陈佳佳</t>
  </si>
  <si>
    <t>45</t>
  </si>
  <si>
    <t>5224210104856</t>
  </si>
  <si>
    <t>吴佳敏</t>
  </si>
  <si>
    <t>46</t>
  </si>
  <si>
    <t>5224210104857</t>
  </si>
  <si>
    <t>陈斯禺</t>
  </si>
  <si>
    <t>平均签到率</t>
    <phoneticPr fontId="25" type="noConversion"/>
  </si>
  <si>
    <t>积分</t>
    <phoneticPr fontId="25" type="noConversion"/>
  </si>
  <si>
    <t>全勤</t>
    <phoneticPr fontId="25" type="noConversion"/>
  </si>
  <si>
    <t>期末考试</t>
    <phoneticPr fontId="25" type="noConversion"/>
  </si>
  <si>
    <t>平时考试</t>
    <phoneticPr fontId="25" type="noConversion"/>
  </si>
  <si>
    <t>活动</t>
    <phoneticPr fontId="25" type="noConversion"/>
  </si>
  <si>
    <t>表现</t>
    <phoneticPr fontId="25" type="noConversion"/>
  </si>
  <si>
    <t>平时</t>
    <phoneticPr fontId="25" type="noConversion"/>
  </si>
  <si>
    <t>最终成绩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</si>
</sst>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1" x14ac:knownFonts="1">
    <font>
      <sz val="12"/>
      <name val="宋体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4"/>
      <name val="宋体"/>
      <family val="3"/>
      <charset val="134"/>
    </font>
    <font>
      <b/>
      <sz val="12"/>
      <name val="宋体"/>
      <family val="3"/>
      <charset val="134"/>
    </font>
    <font>
      <u/>
      <sz val="12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8"/>
      <color theme="3"/>
      <name val="宋体"/>
      <family val="3"/>
      <charset val="134"/>
    </font>
    <font>
      <i/>
      <sz val="11"/>
      <color rgb="FF7F7F7F"/>
      <name val="宋体"/>
      <family val="3"/>
      <charset val="134"/>
    </font>
    <font>
      <b/>
      <sz val="15"/>
      <color theme="3"/>
      <name val="宋体"/>
      <family val="3"/>
      <charset val="134"/>
    </font>
    <font>
      <b/>
      <sz val="13"/>
      <color theme="3"/>
      <name val="宋体"/>
      <family val="3"/>
      <charset val="134"/>
    </font>
    <font>
      <b/>
      <sz val="11"/>
      <color theme="3"/>
      <name val="宋体"/>
      <family val="3"/>
      <charset val="134"/>
    </font>
    <font>
      <sz val="11"/>
      <color rgb="FF3F3F76"/>
      <name val="宋体"/>
      <family val="3"/>
      <charset val="134"/>
    </font>
    <font>
      <b/>
      <sz val="11"/>
      <color rgb="FF3F3F3F"/>
      <name val="宋体"/>
      <family val="3"/>
      <charset val="134"/>
    </font>
    <font>
      <b/>
      <sz val="11"/>
      <color rgb="FFFA7D00"/>
      <name val="宋体"/>
      <family val="3"/>
      <charset val="134"/>
    </font>
    <font>
      <sz val="11"/>
      <color rgb="FFFA7D00"/>
      <name val="宋体"/>
      <family val="3"/>
      <charset val="134"/>
    </font>
    <font>
      <sz val="11"/>
      <color rgb="FF006100"/>
      <name val="宋体"/>
      <family val="3"/>
      <charset val="134"/>
    </font>
    <font>
      <sz val="11"/>
      <color rgb="FF9C0006"/>
      <name val="宋体"/>
      <family val="3"/>
      <charset val="134"/>
    </font>
    <font>
      <sz val="11"/>
      <color rgb="FF9C650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theme="8"/>
      <name val="宋体"/>
      <family val="3"/>
      <charset val="134"/>
    </font>
    <font>
      <sz val="10"/>
      <color rgb="FF00B050"/>
      <name val="宋体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 applyFill="0"/>
    <xf numFmtId="0" fontId="11" fillId="2" borderId="9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2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9" fillId="5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4" fillId="0" borderId="0" applyNumberFormat="0" applyFont="0" applyFill="0" applyProtection="0"/>
  </cellStyleXfs>
  <cellXfs count="71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/>
    <xf numFmtId="49" fontId="0" fillId="0" borderId="0" xfId="0" applyNumberFormat="1"/>
    <xf numFmtId="0" fontId="0" fillId="0" borderId="0" xfId="0" applyAlignment="1">
      <alignment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0" fontId="2" fillId="0" borderId="3" xfId="0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shrinkToFit="1"/>
    </xf>
    <xf numFmtId="0" fontId="0" fillId="0" borderId="1" xfId="0" applyBorder="1" applyAlignment="1">
      <alignment shrinkToFit="1"/>
    </xf>
    <xf numFmtId="0" fontId="0" fillId="0" borderId="1" xfId="0" applyBorder="1"/>
    <xf numFmtId="49" fontId="1" fillId="0" borderId="0" xfId="0" applyNumberFormat="1" applyFont="1"/>
    <xf numFmtId="0" fontId="0" fillId="0" borderId="6" xfId="0" applyBorder="1" applyAlignment="1">
      <alignment shrinkToFit="1"/>
    </xf>
    <xf numFmtId="0" fontId="0" fillId="0" borderId="6" xfId="0" applyBorder="1"/>
    <xf numFmtId="0" fontId="1" fillId="0" borderId="0" xfId="0" applyFont="1"/>
    <xf numFmtId="0" fontId="2" fillId="0" borderId="0" xfId="0" applyFont="1" applyAlignment="1">
      <alignment vertical="center" shrinkToFit="1"/>
    </xf>
    <xf numFmtId="0" fontId="4" fillId="0" borderId="0" xfId="0" applyFont="1"/>
    <xf numFmtId="0" fontId="1" fillId="0" borderId="0" xfId="0" applyFont="1" applyAlignment="1">
      <alignment vertical="center" shrinkToFit="1"/>
    </xf>
    <xf numFmtId="0" fontId="5" fillId="0" borderId="6" xfId="0" applyFont="1" applyBorder="1"/>
    <xf numFmtId="0" fontId="5" fillId="0" borderId="0" xfId="0" applyFont="1"/>
    <xf numFmtId="49" fontId="0" fillId="0" borderId="8" xfId="0" applyNumberFormat="1" applyBorder="1"/>
    <xf numFmtId="0" fontId="0" fillId="0" borderId="8" xfId="0" applyBorder="1" applyAlignment="1">
      <alignment shrinkToFit="1"/>
    </xf>
    <xf numFmtId="0" fontId="0" fillId="0" borderId="8" xfId="0" applyBorder="1"/>
    <xf numFmtId="0" fontId="27" fillId="0" borderId="0" xfId="0" applyFont="1" applyAlignment="1">
      <alignment horizontal="center"/>
    </xf>
    <xf numFmtId="49" fontId="2" fillId="0" borderId="3" xfId="0" applyNumberFormat="1" applyFont="1" applyFill="1" applyBorder="1" applyAlignment="1">
      <alignment horizontal="center" shrinkToFit="1"/>
    </xf>
    <xf numFmtId="0" fontId="28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 shrinkToFit="1"/>
    </xf>
    <xf numFmtId="0" fontId="4" fillId="0" borderId="0" xfId="0" applyFont="1" applyAlignment="1">
      <alignment horizontal="center"/>
    </xf>
    <xf numFmtId="0" fontId="2" fillId="33" borderId="0" xfId="0" applyFont="1" applyFill="1" applyAlignment="1">
      <alignment horizontal="center"/>
    </xf>
    <xf numFmtId="0" fontId="28" fillId="0" borderId="3" xfId="0" applyFont="1" applyBorder="1" applyAlignment="1">
      <alignment horizontal="center" shrinkToFit="1"/>
    </xf>
    <xf numFmtId="49" fontId="28" fillId="0" borderId="3" xfId="0" applyNumberFormat="1" applyFont="1" applyFill="1" applyBorder="1" applyAlignment="1">
      <alignment horizontal="center" shrinkToFit="1"/>
    </xf>
    <xf numFmtId="0" fontId="29" fillId="0" borderId="3" xfId="0" applyFont="1" applyFill="1" applyBorder="1" applyAlignment="1">
      <alignment horizontal="center" shrinkToFi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8" fillId="0" borderId="0" xfId="0" applyFont="1" applyFill="1" applyAlignment="1">
      <alignment horizontal="center"/>
    </xf>
    <xf numFmtId="0" fontId="1" fillId="0" borderId="0" xfId="0" applyFont="1" applyAlignment="1">
      <alignment horizontal="center" vertical="center" shrinkToFit="1"/>
    </xf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4" fillId="0" borderId="0" xfId="0" applyFont="1"/>
    <xf numFmtId="0" fontId="30" fillId="0" borderId="3" xfId="0" applyFont="1" applyBorder="1" applyAlignment="1">
      <alignment horizontal="center" shrinkToFit="1"/>
    </xf>
    <xf numFmtId="0" fontId="30" fillId="0" borderId="3" xfId="0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30" fillId="0" borderId="0" xfId="0" applyFont="1" applyAlignment="1">
      <alignment horizontal="center"/>
    </xf>
    <xf numFmtId="0" fontId="30" fillId="0" borderId="0" xfId="0" applyFont="1" applyFill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 shrinkToFit="1"/>
    </xf>
    <xf numFmtId="0" fontId="2" fillId="0" borderId="0" xfId="0" applyFont="1" applyAlignment="1">
      <alignment horizontal="left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</cellXfs>
  <cellStyles count="43">
    <cellStyle name="_blankBorder" xfId="42" xr:uid="{092D8410-6EEB-43E2-91AB-74009778D32F}"/>
    <cellStyle name="20% - 强调文字颜色 1" xfId="19" xr:uid="{D4BAD05C-0B77-4CC3-8307-A7A336FCE765}"/>
    <cellStyle name="20% - 强调文字颜色 2" xfId="23" xr:uid="{F66ED98A-C021-41DC-8BB2-27DADF1DD68D}"/>
    <cellStyle name="20% - 强调文字颜色 3" xfId="27" xr:uid="{62FC19BE-E141-453D-B033-73DFC60AAD3E}"/>
    <cellStyle name="20% - 强调文字颜色 4" xfId="31" xr:uid="{85505D2D-7555-4543-A994-86B240CEE8B8}"/>
    <cellStyle name="20% - 强调文字颜色 5" xfId="35" xr:uid="{5D444CB6-B656-4AAB-9624-F28E7BA53490}"/>
    <cellStyle name="20% - 强调文字颜色 6" xfId="39" xr:uid="{3BDC5C3F-2F2F-4B1C-AD4E-90BA9E42180F}"/>
    <cellStyle name="40% - 强调文字颜色 1" xfId="20" xr:uid="{F41CF85B-70AB-4D49-8E95-93922D6B5DCE}"/>
    <cellStyle name="40% - 强调文字颜色 2" xfId="24" xr:uid="{25ABA671-A6C5-4CB9-92BD-D86340D2605F}"/>
    <cellStyle name="40% - 强调文字颜色 3" xfId="28" xr:uid="{B395CA89-857D-439A-9DA4-3088E0B91156}"/>
    <cellStyle name="40% - 强调文字颜色 4" xfId="32" xr:uid="{87315DB9-9F7B-41B0-B717-549260836064}"/>
    <cellStyle name="40% - 强调文字颜色 5" xfId="36" xr:uid="{5CE515B6-5238-465F-9B24-10F8B7CCBEBE}"/>
    <cellStyle name="40% - 强调文字颜色 6" xfId="40" xr:uid="{DDD9F0CE-CD40-4D09-ADA2-C00BCFAB50F5}"/>
    <cellStyle name="60% - 强调文字颜色 1" xfId="21" xr:uid="{24B1A7FA-FF5C-4F35-AC90-1C0DA6A1D8D6}"/>
    <cellStyle name="60% - 强调文字颜色 2" xfId="25" xr:uid="{537B47BE-5213-4D60-8683-E40721C12288}"/>
    <cellStyle name="60% - 强调文字颜色 3" xfId="29" xr:uid="{AD596F4A-39E8-4268-ADDF-A60DAB6264A3}"/>
    <cellStyle name="60% - 强调文字颜色 4" xfId="33" xr:uid="{247E8B1A-C88E-4773-9BFD-F280532733CE}"/>
    <cellStyle name="60% - 强调文字颜色 5" xfId="37" xr:uid="{1A2BDE25-C023-492D-A9AC-DAF802CC3ADB}"/>
    <cellStyle name="60% - 强调文字颜色 6" xfId="41" xr:uid="{0C89AFB5-0388-453E-9E84-D7E7889A1937}"/>
    <cellStyle name="标题" xfId="3" builtinId="15" customBuiltin="1"/>
    <cellStyle name="标题 1" xfId="5" builtinId="16" customBuiltin="1"/>
    <cellStyle name="标题 2" xfId="6" builtinId="17" customBuiltin="1"/>
    <cellStyle name="标题 3" xfId="7" builtinId="18" customBuiltin="1"/>
    <cellStyle name="标题 4" xfId="8" builtinId="19" customBuiltin="1"/>
    <cellStyle name="差" xfId="16" builtinId="27" customBuiltin="1"/>
    <cellStyle name="常规" xfId="0" builtinId="0"/>
    <cellStyle name="好" xfId="15" builtinId="26" customBuiltin="1"/>
    <cellStyle name="汇总" xfId="14" builtinId="25" customBuiltin="1"/>
    <cellStyle name="计算" xfId="11" builtinId="22" customBuiltin="1"/>
    <cellStyle name="检查单元格" xfId="12" builtinId="23" customBuiltin="1"/>
    <cellStyle name="解释性文本" xfId="4" builtinId="53" customBuiltin="1"/>
    <cellStyle name="警告文本" xfId="2" builtinId="11" customBuiltin="1"/>
    <cellStyle name="链接单元格" xfId="13" builtinId="24" customBuiltin="1"/>
    <cellStyle name="强调文字颜色 1" xfId="18" xr:uid="{AFDB0A29-5137-4064-A701-D3D3FAFA5168}"/>
    <cellStyle name="强调文字颜色 2" xfId="22" xr:uid="{7A5918ED-E69F-42BD-B2A7-A3D897567CFE}"/>
    <cellStyle name="强调文字颜色 3" xfId="26" xr:uid="{83CDBCA0-A157-46AE-B4B0-0196625353D2}"/>
    <cellStyle name="强调文字颜色 4" xfId="30" xr:uid="{C20C0777-F4DA-4B97-B634-A07C96007E9F}"/>
    <cellStyle name="强调文字颜色 5" xfId="34" xr:uid="{33A814CF-1623-47DE-B91F-9033095AF641}"/>
    <cellStyle name="强调文字颜色 6" xfId="38" xr:uid="{0C93186C-EE08-4E60-8DB0-CE1D8BFB7B38}"/>
    <cellStyle name="适中" xfId="17" builtinId="28" customBuiltin="1"/>
    <cellStyle name="输出" xfId="10" builtinId="21" customBuiltin="1"/>
    <cellStyle name="输入" xfId="9" builtinId="20" customBuiltin="1"/>
    <cellStyle name="注释" xfId="1" builtinId="10" customBuiltin="1"/>
  </cellStyles>
  <dxfs count="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/>
        </top>
        <bottom style="thin">
          <color theme="4"/>
        </bottom>
      </border>
    </dxf>
  </dxfs>
  <tableStyles count="1" defaultTableStyle="TableStylePreset3_Accent1">
    <tableStyle name="TableStylePreset3_Accent1" pivot="0" count="7" xr9:uid="{9C61E0EB-A4F7-40EB-A631-0332C32841DE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CD3C-159D-4292-89B2-06F8A3CFDF09}">
  <sheetPr>
    <pageSetUpPr autoPageBreaks="0"/>
  </sheetPr>
  <dimension ref="A1:V64"/>
  <sheetViews>
    <sheetView tabSelected="1" topLeftCell="A43" zoomScale="130" zoomScaleNormal="130" zoomScaleSheetLayoutView="100" workbookViewId="0">
      <selection activeCell="A10" sqref="A10:XFD10"/>
    </sheetView>
  </sheetViews>
  <sheetFormatPr defaultColWidth="9" defaultRowHeight="14.25" x14ac:dyDescent="0.15"/>
  <cols>
    <col min="1" max="1" width="4.375" customWidth="1"/>
    <col min="2" max="2" width="11.375" style="4" customWidth="1"/>
    <col min="3" max="3" width="11.625" style="5" customWidth="1"/>
    <col min="4" max="11" width="7.25" hidden="1" customWidth="1"/>
    <col min="12" max="12" width="7.875" style="45" customWidth="1"/>
    <col min="13" max="13" width="7.875" style="45" hidden="1" customWidth="1"/>
    <col min="14" max="16" width="7.875" hidden="1" customWidth="1"/>
    <col min="17" max="17" width="5" hidden="1" customWidth="1"/>
    <col min="18" max="18" width="9" hidden="1" customWidth="1"/>
    <col min="19" max="19" width="8.625" hidden="1" customWidth="1"/>
    <col min="20" max="20" width="8" bestFit="1" customWidth="1"/>
    <col min="21" max="21" width="8" hidden="1" customWidth="1"/>
    <col min="22" max="22" width="0" hidden="1" customWidth="1"/>
  </cols>
  <sheetData>
    <row r="1" spans="1:22" ht="30.75" customHeight="1" x14ac:dyDescent="0.15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37"/>
      <c r="N1" s="49"/>
      <c r="O1" s="49"/>
      <c r="P1" s="49"/>
      <c r="Q1" s="49"/>
    </row>
    <row r="2" spans="1:22" s="1" customFormat="1" ht="16.5" customHeight="1" x14ac:dyDescent="0.15">
      <c r="A2" s="56" t="s">
        <v>21</v>
      </c>
      <c r="B2" s="56"/>
      <c r="C2" s="56"/>
      <c r="D2" s="57" t="s">
        <v>22</v>
      </c>
      <c r="E2" s="57"/>
      <c r="F2" s="57"/>
      <c r="G2" s="57" t="s">
        <v>23</v>
      </c>
      <c r="H2" s="57"/>
      <c r="I2" s="57"/>
      <c r="J2" s="57" t="s">
        <v>24</v>
      </c>
      <c r="K2" s="57"/>
      <c r="L2" s="57"/>
      <c r="M2" s="31"/>
      <c r="N2" s="31"/>
      <c r="O2" s="31"/>
      <c r="P2" s="31"/>
      <c r="Q2" s="19"/>
    </row>
    <row r="3" spans="1:22" s="2" customFormat="1" ht="15.75" customHeight="1" x14ac:dyDescent="0.15">
      <c r="A3" s="54" t="s">
        <v>1</v>
      </c>
      <c r="B3" s="60" t="s">
        <v>2</v>
      </c>
      <c r="C3" s="61" t="s">
        <v>3</v>
      </c>
      <c r="D3" s="59" t="s">
        <v>4</v>
      </c>
      <c r="E3" s="59"/>
      <c r="F3" s="59"/>
      <c r="G3" s="59"/>
      <c r="H3" s="59"/>
      <c r="I3" s="59"/>
      <c r="J3" s="59"/>
      <c r="K3" s="59"/>
      <c r="L3" s="58" t="s">
        <v>5</v>
      </c>
      <c r="M3" s="38"/>
      <c r="N3" s="38"/>
      <c r="O3" s="38"/>
      <c r="P3" s="38"/>
      <c r="R3" s="27" t="s">
        <v>163</v>
      </c>
      <c r="S3" s="2">
        <v>82</v>
      </c>
    </row>
    <row r="4" spans="1:22" s="2" customFormat="1" ht="15.75" customHeight="1" x14ac:dyDescent="0.15">
      <c r="A4" s="54"/>
      <c r="B4" s="60"/>
      <c r="C4" s="61"/>
      <c r="D4" s="52" t="s">
        <v>6</v>
      </c>
      <c r="E4" s="52" t="s">
        <v>7</v>
      </c>
      <c r="F4" s="52" t="s">
        <v>8</v>
      </c>
      <c r="G4" s="52" t="s">
        <v>9</v>
      </c>
      <c r="H4" s="53"/>
      <c r="I4" s="52"/>
      <c r="J4" s="54" t="s">
        <v>164</v>
      </c>
      <c r="K4" s="52" t="s">
        <v>165</v>
      </c>
      <c r="L4" s="58"/>
      <c r="M4" s="38"/>
      <c r="N4" s="38"/>
      <c r="O4" s="38"/>
      <c r="P4" s="38"/>
    </row>
    <row r="5" spans="1:22" s="2" customFormat="1" ht="15.75" customHeight="1" x14ac:dyDescent="0.15">
      <c r="A5" s="54"/>
      <c r="B5" s="60"/>
      <c r="C5" s="61"/>
      <c r="D5" s="52"/>
      <c r="E5" s="52"/>
      <c r="F5" s="52"/>
      <c r="G5" s="52"/>
      <c r="H5" s="54"/>
      <c r="I5" s="52"/>
      <c r="J5" s="54"/>
      <c r="K5" s="52"/>
      <c r="L5" s="58"/>
      <c r="M5" s="38"/>
      <c r="N5" s="38"/>
      <c r="T5" s="2" t="s">
        <v>166</v>
      </c>
      <c r="V5" s="2" t="s">
        <v>171</v>
      </c>
    </row>
    <row r="6" spans="1:22" s="2" customFormat="1" ht="15" customHeight="1" x14ac:dyDescent="0.15">
      <c r="A6" s="7" t="s">
        <v>25</v>
      </c>
      <c r="B6" s="8" t="s">
        <v>26</v>
      </c>
      <c r="C6" s="9" t="s">
        <v>27</v>
      </c>
      <c r="D6" s="10"/>
      <c r="E6" s="10">
        <v>60</v>
      </c>
      <c r="F6" s="10">
        <v>60</v>
      </c>
      <c r="G6" s="10">
        <v>60</v>
      </c>
      <c r="H6" s="10"/>
      <c r="I6" s="10"/>
      <c r="J6" s="10"/>
      <c r="K6" s="10"/>
      <c r="L6" s="30">
        <v>66</v>
      </c>
      <c r="N6" s="39"/>
      <c r="O6" s="39"/>
      <c r="P6" s="39"/>
      <c r="T6" s="2">
        <v>57.5</v>
      </c>
      <c r="V6" s="2">
        <f t="shared" ref="V6:V49" si="0">L6*0.3+T6*0.7</f>
        <v>60.05</v>
      </c>
    </row>
    <row r="7" spans="1:22" s="2" customFormat="1" ht="15" customHeight="1" x14ac:dyDescent="0.15">
      <c r="A7" s="7" t="s">
        <v>28</v>
      </c>
      <c r="B7" s="8" t="s">
        <v>29</v>
      </c>
      <c r="C7" s="9" t="s">
        <v>30</v>
      </c>
      <c r="D7" s="10"/>
      <c r="E7" s="10">
        <v>60</v>
      </c>
      <c r="F7" s="10">
        <v>60</v>
      </c>
      <c r="G7" s="10">
        <v>60</v>
      </c>
      <c r="H7" s="10"/>
      <c r="I7" s="10"/>
      <c r="J7" s="10"/>
      <c r="K7" s="10"/>
      <c r="L7" s="30">
        <v>60</v>
      </c>
      <c r="T7" s="2">
        <v>62.5</v>
      </c>
      <c r="V7" s="2">
        <f t="shared" si="0"/>
        <v>61.75</v>
      </c>
    </row>
    <row r="8" spans="1:22" s="2" customFormat="1" ht="15" customHeight="1" x14ac:dyDescent="0.15">
      <c r="A8" s="7" t="s">
        <v>31</v>
      </c>
      <c r="B8" s="8" t="s">
        <v>32</v>
      </c>
      <c r="C8" s="9" t="s">
        <v>33</v>
      </c>
      <c r="D8" s="10"/>
      <c r="E8" s="10">
        <v>60</v>
      </c>
      <c r="F8" s="10">
        <v>60</v>
      </c>
      <c r="G8" s="10">
        <v>60</v>
      </c>
      <c r="H8" s="10"/>
      <c r="I8" s="10"/>
      <c r="J8" s="10"/>
      <c r="K8" s="10"/>
      <c r="L8" s="30">
        <v>60</v>
      </c>
      <c r="T8" s="2">
        <v>67</v>
      </c>
      <c r="V8" s="2">
        <f t="shared" si="0"/>
        <v>64.900000000000006</v>
      </c>
    </row>
    <row r="9" spans="1:22" s="2" customFormat="1" ht="15" customHeight="1" x14ac:dyDescent="0.15">
      <c r="A9" s="7" t="s">
        <v>34</v>
      </c>
      <c r="B9" s="8" t="s">
        <v>35</v>
      </c>
      <c r="C9" s="9" t="s">
        <v>36</v>
      </c>
      <c r="D9" s="10"/>
      <c r="E9" s="10">
        <v>60</v>
      </c>
      <c r="F9" s="10">
        <v>60</v>
      </c>
      <c r="G9" s="10">
        <v>60</v>
      </c>
      <c r="H9" s="10"/>
      <c r="I9" s="10"/>
      <c r="J9" s="10"/>
      <c r="K9" s="10"/>
      <c r="L9" s="30">
        <v>71</v>
      </c>
      <c r="N9" s="2" t="s">
        <v>170</v>
      </c>
      <c r="O9" s="38" t="s">
        <v>169</v>
      </c>
      <c r="P9" s="38" t="s">
        <v>167</v>
      </c>
      <c r="Q9" s="2" t="s">
        <v>168</v>
      </c>
      <c r="T9" s="2">
        <v>55.5</v>
      </c>
      <c r="V9" s="2">
        <f t="shared" si="0"/>
        <v>60.149999999999991</v>
      </c>
    </row>
    <row r="10" spans="1:22" s="2" customFormat="1" ht="15" customHeight="1" x14ac:dyDescent="0.15">
      <c r="A10" s="7" t="s">
        <v>37</v>
      </c>
      <c r="B10" s="8" t="s">
        <v>38</v>
      </c>
      <c r="C10" s="9" t="s">
        <v>39</v>
      </c>
      <c r="D10" s="10"/>
      <c r="E10" s="10">
        <v>100</v>
      </c>
      <c r="F10" s="10">
        <v>100</v>
      </c>
      <c r="G10" s="10">
        <v>100</v>
      </c>
      <c r="H10" s="10"/>
      <c r="I10" s="10"/>
      <c r="J10" s="10">
        <v>5</v>
      </c>
      <c r="K10" s="10">
        <v>5</v>
      </c>
      <c r="L10" s="30">
        <v>100</v>
      </c>
      <c r="N10" s="2">
        <f>E10*0.3+F10*0.5+G10*0.2+J10+K10</f>
        <v>110</v>
      </c>
      <c r="O10" s="2">
        <f>P10+Q10</f>
        <v>138</v>
      </c>
      <c r="P10" s="2">
        <v>89</v>
      </c>
      <c r="Q10" s="2">
        <v>49</v>
      </c>
      <c r="T10" s="2">
        <v>77</v>
      </c>
      <c r="V10" s="2">
        <f t="shared" si="0"/>
        <v>83.9</v>
      </c>
    </row>
    <row r="11" spans="1:22" s="2" customFormat="1" ht="15" customHeight="1" x14ac:dyDescent="0.15">
      <c r="A11" s="7" t="s">
        <v>40</v>
      </c>
      <c r="B11" s="8" t="s">
        <v>41</v>
      </c>
      <c r="C11" s="9" t="s">
        <v>42</v>
      </c>
      <c r="D11" s="10"/>
      <c r="E11" s="10">
        <v>73</v>
      </c>
      <c r="F11" s="10">
        <v>100</v>
      </c>
      <c r="G11" s="10">
        <v>100</v>
      </c>
      <c r="H11" s="10"/>
      <c r="I11" s="10"/>
      <c r="J11" s="10"/>
      <c r="K11" s="10"/>
      <c r="L11" s="30">
        <v>92</v>
      </c>
      <c r="N11" s="2">
        <f t="shared" ref="N11:N49" si="1">E11*0.3+F11*0.5+G11*0.2+J11+K11</f>
        <v>91.9</v>
      </c>
      <c r="O11" s="2">
        <f t="shared" ref="O11:O49" si="2">P11+Q11</f>
        <v>132</v>
      </c>
      <c r="P11" s="2">
        <v>94</v>
      </c>
      <c r="Q11" s="2">
        <v>38</v>
      </c>
      <c r="T11" s="2">
        <v>69.5</v>
      </c>
      <c r="V11" s="2">
        <f t="shared" si="0"/>
        <v>76.25</v>
      </c>
    </row>
    <row r="12" spans="1:22" s="2" customFormat="1" ht="15" customHeight="1" x14ac:dyDescent="0.15">
      <c r="A12" s="7" t="s">
        <v>43</v>
      </c>
      <c r="B12" s="35" t="s">
        <v>44</v>
      </c>
      <c r="C12" s="9" t="s">
        <v>45</v>
      </c>
      <c r="D12" s="10"/>
      <c r="E12" s="29">
        <v>27</v>
      </c>
      <c r="F12" s="10">
        <v>70</v>
      </c>
      <c r="G12" s="10">
        <v>82</v>
      </c>
      <c r="H12" s="10"/>
      <c r="I12" s="10"/>
      <c r="J12" s="10"/>
      <c r="K12" s="10"/>
      <c r="L12" s="44">
        <v>60</v>
      </c>
      <c r="M12" s="43"/>
      <c r="N12" s="2">
        <f t="shared" si="1"/>
        <v>59.5</v>
      </c>
      <c r="O12" s="2">
        <f t="shared" si="2"/>
        <v>24</v>
      </c>
      <c r="P12" s="40">
        <v>0</v>
      </c>
      <c r="Q12" s="2">
        <v>24</v>
      </c>
      <c r="T12" s="2">
        <v>72.5</v>
      </c>
      <c r="V12" s="2">
        <f t="shared" si="0"/>
        <v>68.75</v>
      </c>
    </row>
    <row r="13" spans="1:22" s="2" customFormat="1" ht="15" customHeight="1" x14ac:dyDescent="0.15">
      <c r="A13" s="7" t="s">
        <v>46</v>
      </c>
      <c r="B13" s="8" t="s">
        <v>47</v>
      </c>
      <c r="C13" s="9" t="s">
        <v>48</v>
      </c>
      <c r="D13" s="10"/>
      <c r="E13" s="10">
        <v>93</v>
      </c>
      <c r="F13" s="10">
        <v>100</v>
      </c>
      <c r="G13" s="10">
        <v>100</v>
      </c>
      <c r="H13" s="10"/>
      <c r="I13" s="10"/>
      <c r="J13" s="10">
        <v>3</v>
      </c>
      <c r="K13" s="10"/>
      <c r="L13" s="30">
        <v>100</v>
      </c>
      <c r="N13" s="2">
        <f t="shared" si="1"/>
        <v>100.9</v>
      </c>
      <c r="O13" s="2">
        <f t="shared" si="2"/>
        <v>145</v>
      </c>
      <c r="P13" s="2">
        <v>96</v>
      </c>
      <c r="Q13" s="2">
        <v>49</v>
      </c>
      <c r="T13" s="2">
        <v>73.5</v>
      </c>
      <c r="V13" s="2">
        <f t="shared" si="0"/>
        <v>81.449999999999989</v>
      </c>
    </row>
    <row r="14" spans="1:22" s="2" customFormat="1" ht="15" customHeight="1" x14ac:dyDescent="0.15">
      <c r="A14" s="7" t="s">
        <v>49</v>
      </c>
      <c r="B14" s="35" t="s">
        <v>50</v>
      </c>
      <c r="C14" s="34" t="s">
        <v>51</v>
      </c>
      <c r="D14" s="10"/>
      <c r="E14" s="29">
        <v>20</v>
      </c>
      <c r="F14" s="10">
        <v>70</v>
      </c>
      <c r="G14" s="10">
        <v>82</v>
      </c>
      <c r="H14" s="10"/>
      <c r="I14" s="10"/>
      <c r="J14" s="10"/>
      <c r="K14" s="10"/>
      <c r="L14" s="44">
        <v>57</v>
      </c>
      <c r="M14" s="43"/>
      <c r="N14" s="2">
        <f t="shared" si="1"/>
        <v>57.400000000000006</v>
      </c>
      <c r="O14" s="2">
        <f t="shared" si="2"/>
        <v>0</v>
      </c>
      <c r="P14" s="40">
        <v>0</v>
      </c>
      <c r="Q14" s="2">
        <v>0</v>
      </c>
      <c r="T14" s="33">
        <v>35</v>
      </c>
      <c r="U14" s="33"/>
      <c r="V14" s="2">
        <f t="shared" si="0"/>
        <v>41.599999999999994</v>
      </c>
    </row>
    <row r="15" spans="1:22" s="2" customFormat="1" ht="15" customHeight="1" x14ac:dyDescent="0.15">
      <c r="A15" s="7" t="s">
        <v>52</v>
      </c>
      <c r="B15" s="8" t="s">
        <v>53</v>
      </c>
      <c r="C15" s="46" t="s">
        <v>54</v>
      </c>
      <c r="D15" s="10"/>
      <c r="E15" s="10">
        <v>87</v>
      </c>
      <c r="F15" s="10">
        <v>98</v>
      </c>
      <c r="G15" s="10">
        <v>100</v>
      </c>
      <c r="H15" s="10"/>
      <c r="I15" s="10"/>
      <c r="J15" s="10"/>
      <c r="K15" s="10"/>
      <c r="L15" s="30">
        <v>95</v>
      </c>
      <c r="N15" s="2">
        <f t="shared" si="1"/>
        <v>95.1</v>
      </c>
      <c r="O15" s="2">
        <f t="shared" si="2"/>
        <v>0</v>
      </c>
      <c r="P15" s="39">
        <v>0</v>
      </c>
      <c r="Q15" s="2">
        <v>0</v>
      </c>
      <c r="T15" s="2">
        <v>45</v>
      </c>
      <c r="V15" s="2">
        <f t="shared" si="0"/>
        <v>60</v>
      </c>
    </row>
    <row r="16" spans="1:22" s="2" customFormat="1" ht="15" customHeight="1" x14ac:dyDescent="0.15">
      <c r="A16" s="7" t="s">
        <v>55</v>
      </c>
      <c r="B16" s="8" t="s">
        <v>56</v>
      </c>
      <c r="C16" s="9" t="s">
        <v>57</v>
      </c>
      <c r="D16" s="10"/>
      <c r="E16" s="10">
        <v>87</v>
      </c>
      <c r="F16" s="10">
        <v>78</v>
      </c>
      <c r="G16" s="10">
        <v>85</v>
      </c>
      <c r="H16" s="10"/>
      <c r="I16" s="10"/>
      <c r="J16" s="10"/>
      <c r="K16" s="10"/>
      <c r="L16" s="30">
        <v>82</v>
      </c>
      <c r="N16" s="2">
        <f t="shared" si="1"/>
        <v>82.1</v>
      </c>
      <c r="O16" s="2">
        <f t="shared" si="2"/>
        <v>85</v>
      </c>
      <c r="P16" s="2">
        <v>83</v>
      </c>
      <c r="Q16" s="2">
        <v>2</v>
      </c>
      <c r="T16" s="2">
        <v>52.5</v>
      </c>
      <c r="V16" s="2">
        <f t="shared" si="0"/>
        <v>61.349999999999994</v>
      </c>
    </row>
    <row r="17" spans="1:22" s="2" customFormat="1" ht="15" customHeight="1" x14ac:dyDescent="0.15">
      <c r="A17" s="7" t="s">
        <v>58</v>
      </c>
      <c r="B17" s="8" t="s">
        <v>59</v>
      </c>
      <c r="C17" s="34" t="s">
        <v>60</v>
      </c>
      <c r="D17" s="10"/>
      <c r="E17" s="10">
        <v>67</v>
      </c>
      <c r="F17" s="10">
        <v>80</v>
      </c>
      <c r="G17" s="10">
        <v>82</v>
      </c>
      <c r="H17" s="10"/>
      <c r="I17" s="10"/>
      <c r="J17" s="10"/>
      <c r="K17" s="10"/>
      <c r="L17" s="30">
        <v>77</v>
      </c>
      <c r="N17" s="2">
        <f t="shared" si="1"/>
        <v>76.5</v>
      </c>
      <c r="O17" s="2">
        <f t="shared" si="2"/>
        <v>20</v>
      </c>
      <c r="P17" s="2">
        <v>0</v>
      </c>
      <c r="Q17" s="2">
        <v>20</v>
      </c>
      <c r="T17" s="33">
        <v>44</v>
      </c>
      <c r="U17" s="33"/>
      <c r="V17" s="2">
        <f t="shared" si="0"/>
        <v>53.899999999999991</v>
      </c>
    </row>
    <row r="18" spans="1:22" s="2" customFormat="1" ht="15" customHeight="1" x14ac:dyDescent="0.15">
      <c r="A18" s="7" t="s">
        <v>61</v>
      </c>
      <c r="B18" s="8" t="s">
        <v>62</v>
      </c>
      <c r="C18" s="9" t="s">
        <v>63</v>
      </c>
      <c r="D18" s="10"/>
      <c r="E18" s="10">
        <v>80</v>
      </c>
      <c r="F18" s="10">
        <v>83</v>
      </c>
      <c r="G18" s="10">
        <v>82</v>
      </c>
      <c r="H18" s="10"/>
      <c r="I18" s="10"/>
      <c r="J18" s="10"/>
      <c r="K18" s="10"/>
      <c r="L18" s="30">
        <v>82</v>
      </c>
      <c r="N18" s="2">
        <f t="shared" si="1"/>
        <v>81.900000000000006</v>
      </c>
      <c r="O18" s="2">
        <f t="shared" si="2"/>
        <v>8</v>
      </c>
      <c r="P18" s="2">
        <v>0</v>
      </c>
      <c r="Q18" s="2">
        <v>8</v>
      </c>
      <c r="T18" s="2">
        <v>61.5</v>
      </c>
      <c r="V18" s="2">
        <f t="shared" si="0"/>
        <v>67.649999999999991</v>
      </c>
    </row>
    <row r="19" spans="1:22" s="2" customFormat="1" ht="15" customHeight="1" x14ac:dyDescent="0.15">
      <c r="A19" s="7" t="s">
        <v>64</v>
      </c>
      <c r="B19" s="8" t="s">
        <v>65</v>
      </c>
      <c r="C19" s="9" t="s">
        <v>66</v>
      </c>
      <c r="D19" s="10"/>
      <c r="E19" s="10">
        <v>100</v>
      </c>
      <c r="F19" s="10">
        <v>100</v>
      </c>
      <c r="G19" s="10">
        <v>100</v>
      </c>
      <c r="H19" s="10"/>
      <c r="I19" s="10"/>
      <c r="J19" s="10"/>
      <c r="K19" s="10">
        <v>5</v>
      </c>
      <c r="L19" s="30">
        <v>100</v>
      </c>
      <c r="N19" s="2">
        <f t="shared" si="1"/>
        <v>105</v>
      </c>
      <c r="O19" s="2">
        <f t="shared" si="2"/>
        <v>143</v>
      </c>
      <c r="P19" s="2">
        <v>97</v>
      </c>
      <c r="Q19" s="2">
        <v>46</v>
      </c>
      <c r="T19" s="2">
        <v>62.5</v>
      </c>
      <c r="V19" s="2">
        <f t="shared" si="0"/>
        <v>73.75</v>
      </c>
    </row>
    <row r="20" spans="1:22" s="2" customFormat="1" ht="15" customHeight="1" x14ac:dyDescent="0.15">
      <c r="A20" s="7" t="s">
        <v>67</v>
      </c>
      <c r="B20" s="28" t="s">
        <v>68</v>
      </c>
      <c r="C20" s="36" t="s">
        <v>69</v>
      </c>
      <c r="D20" s="10"/>
      <c r="E20" s="10">
        <v>47</v>
      </c>
      <c r="F20" s="10">
        <v>88</v>
      </c>
      <c r="G20" s="10">
        <v>100</v>
      </c>
      <c r="H20" s="10"/>
      <c r="I20" s="10"/>
      <c r="J20" s="10"/>
      <c r="K20" s="10"/>
      <c r="L20" s="30">
        <v>78</v>
      </c>
      <c r="N20" s="2">
        <f t="shared" si="1"/>
        <v>78.099999999999994</v>
      </c>
      <c r="O20" s="2">
        <f t="shared" si="2"/>
        <v>101</v>
      </c>
      <c r="P20" s="2">
        <v>73</v>
      </c>
      <c r="Q20" s="2">
        <v>28</v>
      </c>
      <c r="T20" s="2">
        <v>65.5</v>
      </c>
      <c r="V20" s="2">
        <f t="shared" si="0"/>
        <v>69.25</v>
      </c>
    </row>
    <row r="21" spans="1:22" s="2" customFormat="1" ht="15" customHeight="1" x14ac:dyDescent="0.15">
      <c r="A21" s="7" t="s">
        <v>70</v>
      </c>
      <c r="B21" s="8" t="s">
        <v>71</v>
      </c>
      <c r="C21" s="9" t="s">
        <v>72</v>
      </c>
      <c r="D21" s="10"/>
      <c r="E21" s="10">
        <v>87</v>
      </c>
      <c r="F21" s="10">
        <v>100</v>
      </c>
      <c r="G21" s="10">
        <v>100</v>
      </c>
      <c r="H21" s="10"/>
      <c r="I21" s="10"/>
      <c r="J21" s="10"/>
      <c r="K21" s="10"/>
      <c r="L21" s="30">
        <v>96</v>
      </c>
      <c r="N21" s="2">
        <f t="shared" si="1"/>
        <v>96.1</v>
      </c>
      <c r="O21" s="2">
        <f t="shared" si="2"/>
        <v>116</v>
      </c>
      <c r="P21" s="2">
        <v>92</v>
      </c>
      <c r="Q21" s="2">
        <v>24</v>
      </c>
      <c r="T21" s="2">
        <v>80.5</v>
      </c>
      <c r="V21" s="2">
        <f t="shared" si="0"/>
        <v>85.149999999999991</v>
      </c>
    </row>
    <row r="22" spans="1:22" s="2" customFormat="1" ht="15" customHeight="1" x14ac:dyDescent="0.15">
      <c r="A22" s="7" t="s">
        <v>73</v>
      </c>
      <c r="B22" s="8" t="s">
        <v>74</v>
      </c>
      <c r="C22" s="9" t="s">
        <v>75</v>
      </c>
      <c r="D22" s="10"/>
      <c r="E22" s="10">
        <v>93</v>
      </c>
      <c r="F22" s="10">
        <v>100</v>
      </c>
      <c r="G22" s="10">
        <v>100</v>
      </c>
      <c r="H22" s="10"/>
      <c r="I22" s="10"/>
      <c r="J22" s="10"/>
      <c r="K22" s="10"/>
      <c r="L22" s="30">
        <v>98</v>
      </c>
      <c r="N22" s="2">
        <f t="shared" si="1"/>
        <v>97.9</v>
      </c>
      <c r="O22" s="2">
        <f t="shared" si="2"/>
        <v>120</v>
      </c>
      <c r="P22" s="2">
        <v>86</v>
      </c>
      <c r="Q22" s="2">
        <v>34</v>
      </c>
      <c r="T22" s="2">
        <v>80.5</v>
      </c>
      <c r="V22" s="2">
        <f t="shared" si="0"/>
        <v>85.75</v>
      </c>
    </row>
    <row r="23" spans="1:22" s="2" customFormat="1" ht="15" customHeight="1" x14ac:dyDescent="0.15">
      <c r="A23" s="7" t="s">
        <v>76</v>
      </c>
      <c r="B23" s="8" t="s">
        <v>77</v>
      </c>
      <c r="C23" s="9" t="s">
        <v>78</v>
      </c>
      <c r="D23" s="10"/>
      <c r="E23" s="10">
        <v>100</v>
      </c>
      <c r="F23" s="10">
        <v>86</v>
      </c>
      <c r="G23" s="10">
        <v>82</v>
      </c>
      <c r="H23" s="10"/>
      <c r="I23" s="10"/>
      <c r="J23" s="10"/>
      <c r="K23" s="10">
        <v>5</v>
      </c>
      <c r="L23" s="30">
        <v>94</v>
      </c>
      <c r="N23" s="2">
        <f t="shared" si="1"/>
        <v>94.4</v>
      </c>
      <c r="O23" s="2">
        <f t="shared" si="2"/>
        <v>56</v>
      </c>
      <c r="P23" s="2">
        <v>0</v>
      </c>
      <c r="Q23" s="2">
        <v>56</v>
      </c>
      <c r="T23" s="2">
        <v>56</v>
      </c>
      <c r="V23" s="2">
        <f t="shared" si="0"/>
        <v>67.399999999999991</v>
      </c>
    </row>
    <row r="24" spans="1:22" s="2" customFormat="1" ht="15" customHeight="1" x14ac:dyDescent="0.15">
      <c r="A24" s="7" t="s">
        <v>79</v>
      </c>
      <c r="B24" s="8" t="s">
        <v>80</v>
      </c>
      <c r="C24" s="9" t="s">
        <v>81</v>
      </c>
      <c r="D24" s="10"/>
      <c r="E24" s="10">
        <v>93</v>
      </c>
      <c r="F24" s="10">
        <v>88</v>
      </c>
      <c r="G24" s="10">
        <v>82</v>
      </c>
      <c r="H24" s="10"/>
      <c r="I24" s="10"/>
      <c r="J24" s="10"/>
      <c r="K24" s="10"/>
      <c r="L24" s="30">
        <v>88</v>
      </c>
      <c r="N24" s="2">
        <f t="shared" si="1"/>
        <v>88.300000000000011</v>
      </c>
      <c r="O24" s="2">
        <f t="shared" si="2"/>
        <v>48</v>
      </c>
      <c r="P24" s="2">
        <v>0</v>
      </c>
      <c r="Q24" s="2">
        <v>48</v>
      </c>
      <c r="T24" s="2">
        <v>66</v>
      </c>
      <c r="V24" s="2">
        <f t="shared" si="0"/>
        <v>72.599999999999994</v>
      </c>
    </row>
    <row r="25" spans="1:22" s="2" customFormat="1" ht="15" customHeight="1" x14ac:dyDescent="0.15">
      <c r="A25" s="7" t="s">
        <v>82</v>
      </c>
      <c r="B25" s="8" t="s">
        <v>83</v>
      </c>
      <c r="C25" s="9" t="s">
        <v>84</v>
      </c>
      <c r="D25" s="10"/>
      <c r="E25" s="10">
        <v>93</v>
      </c>
      <c r="F25" s="10">
        <v>100</v>
      </c>
      <c r="G25" s="10">
        <v>100</v>
      </c>
      <c r="H25" s="10"/>
      <c r="I25" s="10"/>
      <c r="J25" s="10"/>
      <c r="K25" s="10"/>
      <c r="L25" s="30">
        <v>98</v>
      </c>
      <c r="N25" s="2">
        <f t="shared" si="1"/>
        <v>97.9</v>
      </c>
      <c r="O25" s="2">
        <f t="shared" si="2"/>
        <v>130</v>
      </c>
      <c r="P25" s="2">
        <v>82</v>
      </c>
      <c r="Q25" s="2">
        <v>48</v>
      </c>
      <c r="T25" s="2">
        <v>73</v>
      </c>
      <c r="V25" s="2">
        <f t="shared" si="0"/>
        <v>80.5</v>
      </c>
    </row>
    <row r="26" spans="1:22" s="2" customFormat="1" ht="15" customHeight="1" x14ac:dyDescent="0.15">
      <c r="A26" s="7" t="s">
        <v>85</v>
      </c>
      <c r="B26" s="8" t="s">
        <v>86</v>
      </c>
      <c r="C26" s="9" t="s">
        <v>87</v>
      </c>
      <c r="D26" s="10"/>
      <c r="E26" s="10">
        <v>80</v>
      </c>
      <c r="F26" s="10">
        <v>100</v>
      </c>
      <c r="G26" s="10">
        <v>100</v>
      </c>
      <c r="H26" s="10"/>
      <c r="I26" s="10"/>
      <c r="J26" s="10">
        <v>3</v>
      </c>
      <c r="K26" s="10"/>
      <c r="L26" s="30">
        <v>97</v>
      </c>
      <c r="N26" s="2">
        <f t="shared" si="1"/>
        <v>97</v>
      </c>
      <c r="O26" s="2">
        <f t="shared" si="2"/>
        <v>118</v>
      </c>
      <c r="P26" s="2">
        <v>100</v>
      </c>
      <c r="Q26" s="2">
        <v>18</v>
      </c>
      <c r="T26" s="2">
        <v>92</v>
      </c>
      <c r="V26" s="2">
        <f t="shared" si="0"/>
        <v>93.499999999999986</v>
      </c>
    </row>
    <row r="27" spans="1:22" s="2" customFormat="1" ht="15" customHeight="1" x14ac:dyDescent="0.15">
      <c r="A27" s="7" t="s">
        <v>88</v>
      </c>
      <c r="B27" s="35" t="s">
        <v>89</v>
      </c>
      <c r="C27" s="9" t="s">
        <v>90</v>
      </c>
      <c r="D27" s="10"/>
      <c r="E27" s="29">
        <v>47</v>
      </c>
      <c r="F27" s="10">
        <v>98</v>
      </c>
      <c r="G27" s="10">
        <v>95</v>
      </c>
      <c r="H27" s="10"/>
      <c r="I27" s="10"/>
      <c r="J27" s="10"/>
      <c r="K27" s="10"/>
      <c r="L27" s="44">
        <v>82</v>
      </c>
      <c r="M27" s="43"/>
      <c r="N27" s="2">
        <f t="shared" si="1"/>
        <v>82.1</v>
      </c>
      <c r="O27" s="2">
        <f t="shared" si="2"/>
        <v>95</v>
      </c>
      <c r="P27" s="40">
        <v>95</v>
      </c>
      <c r="Q27" s="2">
        <v>0</v>
      </c>
      <c r="T27" s="2">
        <v>60.5</v>
      </c>
      <c r="V27" s="2">
        <f t="shared" si="0"/>
        <v>66.949999999999989</v>
      </c>
    </row>
    <row r="28" spans="1:22" s="2" customFormat="1" ht="15" customHeight="1" x14ac:dyDescent="0.15">
      <c r="A28" s="7" t="s">
        <v>91</v>
      </c>
      <c r="B28" s="8" t="s">
        <v>92</v>
      </c>
      <c r="C28" s="9" t="s">
        <v>93</v>
      </c>
      <c r="D28" s="10"/>
      <c r="E28" s="10">
        <v>93</v>
      </c>
      <c r="F28" s="10">
        <v>83</v>
      </c>
      <c r="G28" s="10">
        <v>82</v>
      </c>
      <c r="H28" s="10"/>
      <c r="I28" s="10"/>
      <c r="J28" s="10"/>
      <c r="K28" s="10"/>
      <c r="L28" s="30">
        <v>86</v>
      </c>
      <c r="N28" s="2">
        <f t="shared" si="1"/>
        <v>85.800000000000011</v>
      </c>
      <c r="O28" s="2">
        <f t="shared" si="2"/>
        <v>24</v>
      </c>
      <c r="P28" s="2">
        <v>0</v>
      </c>
      <c r="Q28" s="2">
        <v>24</v>
      </c>
      <c r="T28" s="2">
        <v>71.5</v>
      </c>
      <c r="V28" s="2">
        <f t="shared" si="0"/>
        <v>75.849999999999994</v>
      </c>
    </row>
    <row r="29" spans="1:22" s="2" customFormat="1" ht="15" customHeight="1" x14ac:dyDescent="0.15">
      <c r="A29" s="7" t="s">
        <v>94</v>
      </c>
      <c r="B29" s="8" t="s">
        <v>95</v>
      </c>
      <c r="C29" s="36" t="s">
        <v>96</v>
      </c>
      <c r="D29" s="10"/>
      <c r="E29" s="10">
        <v>67</v>
      </c>
      <c r="F29" s="10">
        <v>87</v>
      </c>
      <c r="G29" s="10">
        <v>82</v>
      </c>
      <c r="H29" s="10"/>
      <c r="I29" s="10"/>
      <c r="J29" s="10">
        <v>4</v>
      </c>
      <c r="K29" s="10"/>
      <c r="L29" s="30">
        <v>84</v>
      </c>
      <c r="N29" s="2">
        <f t="shared" si="1"/>
        <v>84</v>
      </c>
      <c r="O29" s="2">
        <f t="shared" si="2"/>
        <v>18</v>
      </c>
      <c r="P29" s="2">
        <v>0</v>
      </c>
      <c r="Q29" s="2">
        <v>18</v>
      </c>
      <c r="T29" s="2">
        <v>93.5</v>
      </c>
      <c r="V29" s="2">
        <f t="shared" si="0"/>
        <v>90.65</v>
      </c>
    </row>
    <row r="30" spans="1:22" s="2" customFormat="1" ht="15" customHeight="1" x14ac:dyDescent="0.15">
      <c r="A30" s="7" t="s">
        <v>97</v>
      </c>
      <c r="B30" s="8" t="s">
        <v>98</v>
      </c>
      <c r="C30" s="9" t="s">
        <v>99</v>
      </c>
      <c r="D30" s="10"/>
      <c r="E30" s="10">
        <v>73</v>
      </c>
      <c r="F30" s="10">
        <v>83</v>
      </c>
      <c r="G30" s="10">
        <v>82</v>
      </c>
      <c r="H30" s="10"/>
      <c r="I30" s="10"/>
      <c r="J30" s="10"/>
      <c r="K30" s="10"/>
      <c r="L30" s="30">
        <v>80</v>
      </c>
      <c r="N30" s="2">
        <f t="shared" si="1"/>
        <v>79.8</v>
      </c>
      <c r="O30" s="2">
        <f t="shared" si="2"/>
        <v>31</v>
      </c>
      <c r="P30" s="2">
        <v>0</v>
      </c>
      <c r="Q30" s="2">
        <v>31</v>
      </c>
      <c r="T30" s="33">
        <v>38</v>
      </c>
      <c r="U30" s="33"/>
      <c r="V30" s="2">
        <f t="shared" si="0"/>
        <v>50.599999999999994</v>
      </c>
    </row>
    <row r="31" spans="1:22" s="2" customFormat="1" ht="15" customHeight="1" x14ac:dyDescent="0.15">
      <c r="A31" s="7" t="s">
        <v>100</v>
      </c>
      <c r="B31" s="8" t="s">
        <v>101</v>
      </c>
      <c r="C31" s="34" t="s">
        <v>102</v>
      </c>
      <c r="D31" s="10"/>
      <c r="E31" s="10">
        <v>93</v>
      </c>
      <c r="F31" s="10">
        <v>80</v>
      </c>
      <c r="G31" s="10">
        <v>82</v>
      </c>
      <c r="H31" s="10"/>
      <c r="I31" s="10"/>
      <c r="J31" s="10"/>
      <c r="K31" s="10"/>
      <c r="L31" s="30">
        <v>84</v>
      </c>
      <c r="N31" s="2">
        <f t="shared" si="1"/>
        <v>84.300000000000011</v>
      </c>
      <c r="O31" s="2">
        <f t="shared" si="2"/>
        <v>0</v>
      </c>
      <c r="P31" s="2">
        <v>0</v>
      </c>
      <c r="Q31" s="2">
        <v>0</v>
      </c>
      <c r="T31" s="33">
        <v>41</v>
      </c>
      <c r="U31" s="33"/>
      <c r="V31" s="2">
        <f t="shared" si="0"/>
        <v>53.9</v>
      </c>
    </row>
    <row r="32" spans="1:22" s="2" customFormat="1" ht="15" customHeight="1" x14ac:dyDescent="0.15">
      <c r="A32" s="7" t="s">
        <v>103</v>
      </c>
      <c r="B32" s="8" t="s">
        <v>104</v>
      </c>
      <c r="C32" s="9" t="s">
        <v>105</v>
      </c>
      <c r="D32" s="10"/>
      <c r="E32" s="10">
        <v>93</v>
      </c>
      <c r="F32" s="10">
        <v>99</v>
      </c>
      <c r="G32" s="10">
        <v>100</v>
      </c>
      <c r="H32" s="10"/>
      <c r="I32" s="10"/>
      <c r="J32" s="10"/>
      <c r="K32" s="10"/>
      <c r="L32" s="30">
        <v>97</v>
      </c>
      <c r="N32" s="2">
        <f t="shared" si="1"/>
        <v>97.4</v>
      </c>
      <c r="O32" s="2">
        <f t="shared" si="2"/>
        <v>129</v>
      </c>
      <c r="P32" s="2">
        <v>93</v>
      </c>
      <c r="Q32" s="2">
        <v>36</v>
      </c>
      <c r="T32" s="2">
        <v>64</v>
      </c>
      <c r="V32" s="2">
        <f t="shared" si="0"/>
        <v>73.899999999999991</v>
      </c>
    </row>
    <row r="33" spans="1:22" s="2" customFormat="1" ht="15" customHeight="1" x14ac:dyDescent="0.15">
      <c r="A33" s="7" t="s">
        <v>106</v>
      </c>
      <c r="B33" s="8" t="s">
        <v>107</v>
      </c>
      <c r="C33" s="46" t="s">
        <v>108</v>
      </c>
      <c r="D33" s="10"/>
      <c r="E33" s="10">
        <v>87</v>
      </c>
      <c r="F33" s="10">
        <v>80</v>
      </c>
      <c r="G33" s="10">
        <v>82</v>
      </c>
      <c r="H33" s="10"/>
      <c r="I33" s="10"/>
      <c r="J33" s="10"/>
      <c r="K33" s="10"/>
      <c r="L33" s="48">
        <v>83</v>
      </c>
      <c r="M33" s="50"/>
      <c r="N33" s="2">
        <f t="shared" si="1"/>
        <v>82.5</v>
      </c>
      <c r="O33" s="2">
        <f t="shared" si="2"/>
        <v>44</v>
      </c>
      <c r="P33" s="2">
        <v>0</v>
      </c>
      <c r="Q33" s="2">
        <v>44</v>
      </c>
      <c r="T33" s="33">
        <v>45</v>
      </c>
      <c r="U33" s="33"/>
      <c r="V33" s="2">
        <f t="shared" si="0"/>
        <v>56.399999999999991</v>
      </c>
    </row>
    <row r="34" spans="1:22" s="2" customFormat="1" ht="15" customHeight="1" x14ac:dyDescent="0.15">
      <c r="A34" s="7" t="s">
        <v>109</v>
      </c>
      <c r="B34" s="8" t="s">
        <v>110</v>
      </c>
      <c r="C34" s="34" t="s">
        <v>111</v>
      </c>
      <c r="D34" s="10"/>
      <c r="E34" s="29">
        <v>60</v>
      </c>
      <c r="F34" s="10">
        <v>92</v>
      </c>
      <c r="G34" s="10">
        <v>82</v>
      </c>
      <c r="H34" s="10"/>
      <c r="I34" s="10"/>
      <c r="J34" s="10"/>
      <c r="K34" s="10"/>
      <c r="L34" s="30">
        <v>80</v>
      </c>
      <c r="N34" s="2">
        <f t="shared" si="1"/>
        <v>80.400000000000006</v>
      </c>
      <c r="O34" s="2">
        <f t="shared" si="2"/>
        <v>32</v>
      </c>
      <c r="P34" s="2">
        <v>0</v>
      </c>
      <c r="Q34" s="2">
        <v>32</v>
      </c>
      <c r="T34" s="33">
        <v>44.5</v>
      </c>
      <c r="U34" s="33"/>
      <c r="V34" s="2">
        <f t="shared" si="0"/>
        <v>55.15</v>
      </c>
    </row>
    <row r="35" spans="1:22" s="2" customFormat="1" ht="15" customHeight="1" x14ac:dyDescent="0.15">
      <c r="A35" s="7" t="s">
        <v>112</v>
      </c>
      <c r="B35" s="8" t="s">
        <v>113</v>
      </c>
      <c r="C35" s="9" t="s">
        <v>114</v>
      </c>
      <c r="D35" s="10"/>
      <c r="E35" s="10">
        <v>100</v>
      </c>
      <c r="F35" s="10">
        <v>100</v>
      </c>
      <c r="G35" s="10">
        <v>100</v>
      </c>
      <c r="H35" s="10"/>
      <c r="I35" s="10"/>
      <c r="J35" s="10">
        <v>1</v>
      </c>
      <c r="K35" s="10">
        <v>5</v>
      </c>
      <c r="L35" s="30">
        <v>100</v>
      </c>
      <c r="N35" s="2">
        <f t="shared" si="1"/>
        <v>106</v>
      </c>
      <c r="O35" s="2">
        <f t="shared" si="2"/>
        <v>142</v>
      </c>
      <c r="P35" s="2">
        <v>100</v>
      </c>
      <c r="Q35" s="2">
        <v>42</v>
      </c>
      <c r="T35" s="2">
        <v>60.5</v>
      </c>
      <c r="V35" s="2">
        <f t="shared" si="0"/>
        <v>72.349999999999994</v>
      </c>
    </row>
    <row r="36" spans="1:22" s="2" customFormat="1" ht="15" customHeight="1" x14ac:dyDescent="0.15">
      <c r="A36" s="7" t="s">
        <v>115</v>
      </c>
      <c r="B36" s="8" t="s">
        <v>116</v>
      </c>
      <c r="C36" s="9" t="s">
        <v>117</v>
      </c>
      <c r="D36" s="10"/>
      <c r="E36" s="10">
        <v>67</v>
      </c>
      <c r="F36" s="10">
        <v>97</v>
      </c>
      <c r="G36" s="10">
        <v>100</v>
      </c>
      <c r="H36" s="10"/>
      <c r="I36" s="10"/>
      <c r="J36" s="10"/>
      <c r="K36" s="10"/>
      <c r="L36" s="30">
        <v>89</v>
      </c>
      <c r="N36" s="2">
        <f t="shared" si="1"/>
        <v>88.6</v>
      </c>
      <c r="O36" s="2">
        <f t="shared" si="2"/>
        <v>117</v>
      </c>
      <c r="P36" s="2">
        <v>85</v>
      </c>
      <c r="Q36" s="2">
        <v>32</v>
      </c>
      <c r="T36" s="33">
        <v>29.5</v>
      </c>
      <c r="U36" s="33"/>
      <c r="V36" s="2">
        <f t="shared" si="0"/>
        <v>47.349999999999994</v>
      </c>
    </row>
    <row r="37" spans="1:22" s="2" customFormat="1" ht="15" customHeight="1" x14ac:dyDescent="0.15">
      <c r="A37" s="7" t="s">
        <v>118</v>
      </c>
      <c r="B37" s="35" t="s">
        <v>119</v>
      </c>
      <c r="C37" s="9" t="s">
        <v>120</v>
      </c>
      <c r="D37" s="10"/>
      <c r="E37" s="29">
        <v>47</v>
      </c>
      <c r="F37" s="10">
        <v>83</v>
      </c>
      <c r="G37" s="10">
        <v>100</v>
      </c>
      <c r="H37" s="10"/>
      <c r="I37" s="10"/>
      <c r="J37" s="10"/>
      <c r="K37" s="10"/>
      <c r="L37" s="44">
        <v>76</v>
      </c>
      <c r="M37" s="43"/>
      <c r="N37" s="2">
        <f t="shared" si="1"/>
        <v>75.599999999999994</v>
      </c>
      <c r="O37" s="2">
        <f t="shared" si="2"/>
        <v>103</v>
      </c>
      <c r="P37" s="40">
        <v>95</v>
      </c>
      <c r="Q37" s="2">
        <v>8</v>
      </c>
      <c r="T37" s="2">
        <v>60</v>
      </c>
      <c r="V37" s="2">
        <f t="shared" si="0"/>
        <v>64.8</v>
      </c>
    </row>
    <row r="38" spans="1:22" s="2" customFormat="1" ht="15" customHeight="1" x14ac:dyDescent="0.15">
      <c r="A38" s="7" t="s">
        <v>121</v>
      </c>
      <c r="B38" s="8" t="s">
        <v>122</v>
      </c>
      <c r="C38" s="9" t="s">
        <v>123</v>
      </c>
      <c r="D38" s="10"/>
      <c r="E38" s="10">
        <v>93</v>
      </c>
      <c r="F38" s="10">
        <v>80</v>
      </c>
      <c r="G38" s="10">
        <v>82</v>
      </c>
      <c r="H38" s="10"/>
      <c r="I38" s="10"/>
      <c r="J38" s="10"/>
      <c r="K38" s="10"/>
      <c r="L38" s="30">
        <v>84</v>
      </c>
      <c r="N38" s="2">
        <f t="shared" si="1"/>
        <v>84.300000000000011</v>
      </c>
      <c r="O38" s="2">
        <f t="shared" si="2"/>
        <v>12</v>
      </c>
      <c r="P38" s="2">
        <v>0</v>
      </c>
      <c r="Q38" s="2">
        <v>12</v>
      </c>
      <c r="T38" s="2">
        <v>61.5</v>
      </c>
      <c r="V38" s="2">
        <f t="shared" si="0"/>
        <v>68.25</v>
      </c>
    </row>
    <row r="39" spans="1:22" s="2" customFormat="1" ht="15" customHeight="1" x14ac:dyDescent="0.15">
      <c r="A39" s="7" t="s">
        <v>124</v>
      </c>
      <c r="B39" s="8" t="s">
        <v>125</v>
      </c>
      <c r="C39" s="9" t="s">
        <v>126</v>
      </c>
      <c r="D39" s="10"/>
      <c r="E39" s="10">
        <v>100</v>
      </c>
      <c r="F39" s="10">
        <v>100</v>
      </c>
      <c r="G39" s="10">
        <v>100</v>
      </c>
      <c r="H39" s="10"/>
      <c r="I39" s="10"/>
      <c r="J39" s="10">
        <v>4</v>
      </c>
      <c r="K39" s="10">
        <v>5</v>
      </c>
      <c r="L39" s="30">
        <v>100</v>
      </c>
      <c r="N39" s="2">
        <f t="shared" si="1"/>
        <v>109</v>
      </c>
      <c r="O39" s="2">
        <f t="shared" si="2"/>
        <v>147</v>
      </c>
      <c r="P39" s="2">
        <v>91</v>
      </c>
      <c r="Q39" s="2">
        <v>56</v>
      </c>
      <c r="T39" s="2">
        <v>80</v>
      </c>
      <c r="V39" s="2">
        <f t="shared" si="0"/>
        <v>86</v>
      </c>
    </row>
    <row r="40" spans="1:22" s="2" customFormat="1" ht="15" customHeight="1" x14ac:dyDescent="0.15">
      <c r="A40" s="7" t="s">
        <v>127</v>
      </c>
      <c r="B40" s="8" t="s">
        <v>128</v>
      </c>
      <c r="C40" s="9" t="s">
        <v>129</v>
      </c>
      <c r="D40" s="10"/>
      <c r="E40" s="10">
        <v>100</v>
      </c>
      <c r="F40" s="10">
        <v>83</v>
      </c>
      <c r="G40" s="10">
        <v>100</v>
      </c>
      <c r="H40" s="10"/>
      <c r="I40" s="10"/>
      <c r="J40" s="10">
        <v>2</v>
      </c>
      <c r="K40" s="10">
        <v>5</v>
      </c>
      <c r="L40" s="30">
        <v>99</v>
      </c>
      <c r="N40" s="2">
        <f t="shared" si="1"/>
        <v>98.5</v>
      </c>
      <c r="O40" s="2">
        <f t="shared" si="2"/>
        <v>101</v>
      </c>
      <c r="P40" s="2">
        <v>97</v>
      </c>
      <c r="Q40" s="2">
        <v>4</v>
      </c>
      <c r="T40" s="2">
        <v>77.5</v>
      </c>
      <c r="V40" s="2">
        <f t="shared" si="0"/>
        <v>83.95</v>
      </c>
    </row>
    <row r="41" spans="1:22" s="2" customFormat="1" ht="15" customHeight="1" x14ac:dyDescent="0.15">
      <c r="A41" s="7" t="s">
        <v>130</v>
      </c>
      <c r="B41" s="8" t="s">
        <v>131</v>
      </c>
      <c r="C41" s="9" t="s">
        <v>132</v>
      </c>
      <c r="D41" s="10"/>
      <c r="E41" s="10">
        <v>100</v>
      </c>
      <c r="F41" s="10">
        <v>100</v>
      </c>
      <c r="G41" s="10">
        <v>100</v>
      </c>
      <c r="H41" s="10"/>
      <c r="I41" s="10"/>
      <c r="J41" s="10"/>
      <c r="K41" s="10">
        <v>5</v>
      </c>
      <c r="L41" s="30">
        <v>100</v>
      </c>
      <c r="N41" s="2">
        <f t="shared" si="1"/>
        <v>105</v>
      </c>
      <c r="O41" s="2">
        <f t="shared" si="2"/>
        <v>137</v>
      </c>
      <c r="P41" s="2">
        <v>89</v>
      </c>
      <c r="Q41" s="2">
        <v>48</v>
      </c>
      <c r="T41" s="2">
        <v>79</v>
      </c>
      <c r="V41" s="2">
        <f t="shared" si="0"/>
        <v>85.3</v>
      </c>
    </row>
    <row r="42" spans="1:22" s="2" customFormat="1" ht="15" customHeight="1" x14ac:dyDescent="0.15">
      <c r="A42" s="7" t="s">
        <v>133</v>
      </c>
      <c r="B42" s="8" t="s">
        <v>134</v>
      </c>
      <c r="C42" s="9" t="s">
        <v>135</v>
      </c>
      <c r="D42" s="10"/>
      <c r="E42" s="10">
        <v>93</v>
      </c>
      <c r="F42" s="10">
        <v>100</v>
      </c>
      <c r="G42" s="10">
        <v>100</v>
      </c>
      <c r="H42" s="10"/>
      <c r="I42" s="10"/>
      <c r="J42" s="10"/>
      <c r="K42" s="10"/>
      <c r="L42" s="30">
        <v>98</v>
      </c>
      <c r="N42" s="2">
        <f t="shared" si="1"/>
        <v>97.9</v>
      </c>
      <c r="O42" s="2">
        <f t="shared" si="2"/>
        <v>147</v>
      </c>
      <c r="P42" s="2">
        <v>94</v>
      </c>
      <c r="Q42" s="2">
        <v>53</v>
      </c>
      <c r="T42" s="2">
        <v>84.5</v>
      </c>
      <c r="V42" s="2">
        <f t="shared" si="0"/>
        <v>88.55</v>
      </c>
    </row>
    <row r="43" spans="1:22" s="2" customFormat="1" ht="15" customHeight="1" x14ac:dyDescent="0.15">
      <c r="A43" s="7" t="s">
        <v>136</v>
      </c>
      <c r="B43" s="8" t="s">
        <v>137</v>
      </c>
      <c r="C43" s="9" t="s">
        <v>138</v>
      </c>
      <c r="D43" s="10"/>
      <c r="E43" s="10">
        <v>100</v>
      </c>
      <c r="F43" s="10">
        <v>100</v>
      </c>
      <c r="G43" s="10">
        <v>100</v>
      </c>
      <c r="H43" s="10"/>
      <c r="I43" s="10"/>
      <c r="J43" s="10">
        <v>3</v>
      </c>
      <c r="K43" s="10">
        <v>5</v>
      </c>
      <c r="L43" s="30">
        <v>100</v>
      </c>
      <c r="N43" s="2">
        <f t="shared" si="1"/>
        <v>108</v>
      </c>
      <c r="O43" s="2">
        <f t="shared" si="2"/>
        <v>128</v>
      </c>
      <c r="P43" s="2">
        <v>78</v>
      </c>
      <c r="Q43" s="2">
        <v>50</v>
      </c>
      <c r="T43" s="2">
        <v>74</v>
      </c>
      <c r="V43" s="2">
        <f t="shared" si="0"/>
        <v>81.8</v>
      </c>
    </row>
    <row r="44" spans="1:22" s="2" customFormat="1" ht="15" customHeight="1" x14ac:dyDescent="0.15">
      <c r="A44" s="7" t="s">
        <v>139</v>
      </c>
      <c r="B44" s="8" t="s">
        <v>140</v>
      </c>
      <c r="C44" s="9" t="s">
        <v>141</v>
      </c>
      <c r="D44" s="10"/>
      <c r="E44" s="10">
        <v>100</v>
      </c>
      <c r="F44" s="10">
        <v>85</v>
      </c>
      <c r="G44" s="10">
        <v>82</v>
      </c>
      <c r="H44" s="10"/>
      <c r="I44" s="10"/>
      <c r="J44" s="10">
        <v>3</v>
      </c>
      <c r="K44" s="10">
        <v>5</v>
      </c>
      <c r="L44" s="30">
        <v>97</v>
      </c>
      <c r="N44" s="2">
        <f t="shared" si="1"/>
        <v>96.9</v>
      </c>
      <c r="O44" s="2">
        <f t="shared" si="2"/>
        <v>60</v>
      </c>
      <c r="P44" s="2">
        <v>0</v>
      </c>
      <c r="Q44" s="2">
        <v>60</v>
      </c>
      <c r="T44" s="2">
        <v>61</v>
      </c>
      <c r="V44" s="2">
        <f t="shared" si="0"/>
        <v>71.8</v>
      </c>
    </row>
    <row r="45" spans="1:22" s="2" customFormat="1" ht="15" customHeight="1" x14ac:dyDescent="0.15">
      <c r="A45" s="7" t="s">
        <v>142</v>
      </c>
      <c r="B45" s="8" t="s">
        <v>143</v>
      </c>
      <c r="C45" s="9" t="s">
        <v>144</v>
      </c>
      <c r="D45" s="10"/>
      <c r="E45" s="10">
        <v>100</v>
      </c>
      <c r="F45" s="10">
        <v>100</v>
      </c>
      <c r="G45" s="10">
        <v>100</v>
      </c>
      <c r="H45" s="10"/>
      <c r="I45" s="10"/>
      <c r="J45" s="10">
        <v>2</v>
      </c>
      <c r="K45" s="10">
        <v>5</v>
      </c>
      <c r="L45" s="30">
        <v>100</v>
      </c>
      <c r="N45" s="2">
        <f t="shared" si="1"/>
        <v>107</v>
      </c>
      <c r="O45" s="2">
        <f t="shared" si="2"/>
        <v>140</v>
      </c>
      <c r="P45" s="2">
        <v>86</v>
      </c>
      <c r="Q45" s="2">
        <v>54</v>
      </c>
      <c r="T45" s="2">
        <v>61</v>
      </c>
      <c r="V45" s="2">
        <f t="shared" si="0"/>
        <v>72.699999999999989</v>
      </c>
    </row>
    <row r="46" spans="1:22" s="2" customFormat="1" ht="15" customHeight="1" x14ac:dyDescent="0.15">
      <c r="A46" s="7" t="s">
        <v>145</v>
      </c>
      <c r="B46" s="8" t="s">
        <v>146</v>
      </c>
      <c r="C46" s="9" t="s">
        <v>147</v>
      </c>
      <c r="D46" s="10"/>
      <c r="E46" s="10">
        <v>93</v>
      </c>
      <c r="F46" s="10">
        <v>90</v>
      </c>
      <c r="G46" s="10">
        <v>82</v>
      </c>
      <c r="H46" s="10"/>
      <c r="I46" s="10"/>
      <c r="J46" s="10">
        <v>3</v>
      </c>
      <c r="K46" s="10"/>
      <c r="L46" s="30">
        <v>92</v>
      </c>
      <c r="N46" s="2">
        <f t="shared" si="1"/>
        <v>92.300000000000011</v>
      </c>
      <c r="O46" s="2">
        <f t="shared" si="2"/>
        <v>48</v>
      </c>
      <c r="P46" s="2">
        <v>0</v>
      </c>
      <c r="Q46" s="2">
        <v>48</v>
      </c>
      <c r="T46" s="2">
        <v>60.5</v>
      </c>
      <c r="V46" s="2">
        <f t="shared" si="0"/>
        <v>69.949999999999989</v>
      </c>
    </row>
    <row r="47" spans="1:22" s="2" customFormat="1" ht="15" customHeight="1" x14ac:dyDescent="0.15">
      <c r="A47" s="7" t="s">
        <v>148</v>
      </c>
      <c r="B47" s="8" t="s">
        <v>149</v>
      </c>
      <c r="C47" s="9" t="s">
        <v>150</v>
      </c>
      <c r="D47" s="10"/>
      <c r="E47" s="10">
        <v>100</v>
      </c>
      <c r="F47" s="10">
        <v>100</v>
      </c>
      <c r="G47" s="10">
        <v>100</v>
      </c>
      <c r="H47" s="10"/>
      <c r="I47" s="10"/>
      <c r="J47" s="10">
        <v>10</v>
      </c>
      <c r="K47" s="10">
        <v>5</v>
      </c>
      <c r="L47" s="30">
        <v>100</v>
      </c>
      <c r="N47" s="2">
        <f t="shared" si="1"/>
        <v>115</v>
      </c>
      <c r="O47" s="2">
        <f t="shared" si="2"/>
        <v>157</v>
      </c>
      <c r="P47" s="2">
        <v>99</v>
      </c>
      <c r="Q47" s="2">
        <v>58</v>
      </c>
      <c r="T47" s="2">
        <v>93</v>
      </c>
      <c r="V47" s="2">
        <f t="shared" si="0"/>
        <v>95.1</v>
      </c>
    </row>
    <row r="48" spans="1:22" s="2" customFormat="1" ht="15" customHeight="1" x14ac:dyDescent="0.15">
      <c r="A48" s="7" t="s">
        <v>151</v>
      </c>
      <c r="B48" s="8" t="s">
        <v>152</v>
      </c>
      <c r="C48" s="9" t="s">
        <v>153</v>
      </c>
      <c r="D48" s="10"/>
      <c r="E48" s="10">
        <v>87</v>
      </c>
      <c r="F48" s="10">
        <v>100</v>
      </c>
      <c r="G48" s="10">
        <v>100</v>
      </c>
      <c r="H48" s="10"/>
      <c r="I48" s="10"/>
      <c r="J48" s="10"/>
      <c r="K48" s="10"/>
      <c r="L48" s="30">
        <v>96</v>
      </c>
      <c r="N48" s="2">
        <f t="shared" si="1"/>
        <v>96.1</v>
      </c>
      <c r="O48" s="2">
        <f t="shared" si="2"/>
        <v>155</v>
      </c>
      <c r="P48" s="2">
        <v>95</v>
      </c>
      <c r="Q48" s="2">
        <v>60</v>
      </c>
      <c r="T48" s="2">
        <v>70.5</v>
      </c>
      <c r="V48" s="2">
        <f t="shared" si="0"/>
        <v>78.149999999999991</v>
      </c>
    </row>
    <row r="49" spans="1:22" s="2" customFormat="1" ht="15" customHeight="1" x14ac:dyDescent="0.15">
      <c r="A49" s="7" t="s">
        <v>154</v>
      </c>
      <c r="B49" s="8" t="s">
        <v>155</v>
      </c>
      <c r="C49" s="36" t="s">
        <v>156</v>
      </c>
      <c r="D49" s="10"/>
      <c r="E49" s="10">
        <v>60</v>
      </c>
      <c r="F49" s="10">
        <v>100</v>
      </c>
      <c r="G49" s="10">
        <v>100</v>
      </c>
      <c r="H49" s="10"/>
      <c r="I49" s="10"/>
      <c r="J49" s="10"/>
      <c r="K49" s="10"/>
      <c r="L49" s="30">
        <v>88</v>
      </c>
      <c r="N49" s="2">
        <f t="shared" si="1"/>
        <v>88</v>
      </c>
      <c r="O49" s="2">
        <f t="shared" si="2"/>
        <v>134</v>
      </c>
      <c r="P49" s="2">
        <v>94</v>
      </c>
      <c r="Q49" s="2">
        <v>40</v>
      </c>
      <c r="T49" s="2">
        <v>79</v>
      </c>
      <c r="V49" s="2">
        <f t="shared" si="0"/>
        <v>81.699999999999989</v>
      </c>
    </row>
    <row r="50" spans="1:22" ht="15" customHeight="1" x14ac:dyDescent="0.15">
      <c r="R50" s="2"/>
      <c r="S50" s="2"/>
      <c r="V50" s="2"/>
    </row>
    <row r="51" spans="1:22" ht="30.75" customHeight="1" x14ac:dyDescent="0.15">
      <c r="A51" s="55" t="s">
        <v>0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2"/>
      <c r="S51" s="2"/>
      <c r="V51" s="2"/>
    </row>
    <row r="52" spans="1:22" s="1" customFormat="1" ht="16.5" customHeight="1" x14ac:dyDescent="0.15">
      <c r="A52" s="56" t="s">
        <v>21</v>
      </c>
      <c r="B52" s="56"/>
      <c r="C52" s="56"/>
      <c r="D52" s="57" t="s">
        <v>22</v>
      </c>
      <c r="E52" s="57"/>
      <c r="F52" s="57"/>
      <c r="G52" s="57" t="s">
        <v>23</v>
      </c>
      <c r="H52" s="57"/>
      <c r="I52" s="57"/>
      <c r="J52" s="57" t="s">
        <v>24</v>
      </c>
      <c r="K52" s="57"/>
      <c r="L52" s="57"/>
      <c r="M52" s="31"/>
      <c r="N52" s="31"/>
      <c r="O52" s="31"/>
      <c r="P52" s="31"/>
      <c r="Q52" s="19"/>
      <c r="R52" s="2"/>
      <c r="S52" s="2"/>
      <c r="V52" s="2"/>
    </row>
    <row r="53" spans="1:22" s="2" customFormat="1" ht="15.75" customHeight="1" x14ac:dyDescent="0.15">
      <c r="A53" s="54" t="s">
        <v>1</v>
      </c>
      <c r="B53" s="60" t="s">
        <v>2</v>
      </c>
      <c r="C53" s="61" t="s">
        <v>3</v>
      </c>
      <c r="D53" s="59" t="s">
        <v>4</v>
      </c>
      <c r="E53" s="59"/>
      <c r="F53" s="59"/>
      <c r="G53" s="59"/>
      <c r="H53" s="59"/>
      <c r="I53" s="59"/>
      <c r="J53" s="59"/>
      <c r="K53" s="59"/>
      <c r="L53" s="58" t="s">
        <v>5</v>
      </c>
      <c r="M53" s="38"/>
      <c r="N53" s="38"/>
      <c r="O53" s="38"/>
      <c r="P53" s="38"/>
    </row>
    <row r="54" spans="1:22" s="2" customFormat="1" ht="15.75" customHeight="1" x14ac:dyDescent="0.15">
      <c r="A54" s="54"/>
      <c r="B54" s="60"/>
      <c r="C54" s="61"/>
      <c r="D54" s="52" t="s">
        <v>6</v>
      </c>
      <c r="E54" s="52" t="s">
        <v>7</v>
      </c>
      <c r="F54" s="52" t="s">
        <v>8</v>
      </c>
      <c r="G54" s="52" t="s">
        <v>9</v>
      </c>
      <c r="H54" s="52"/>
      <c r="I54" s="52"/>
      <c r="J54" s="52"/>
      <c r="K54" s="52"/>
      <c r="L54" s="58"/>
      <c r="M54" s="38"/>
      <c r="N54" s="38"/>
      <c r="O54" s="38"/>
      <c r="P54" s="38"/>
    </row>
    <row r="55" spans="1:22" s="2" customFormat="1" ht="15.75" customHeight="1" x14ac:dyDescent="0.15">
      <c r="A55" s="54"/>
      <c r="B55" s="60"/>
      <c r="C55" s="61"/>
      <c r="D55" s="52"/>
      <c r="E55" s="52"/>
      <c r="F55" s="52"/>
      <c r="G55" s="52"/>
      <c r="H55" s="52"/>
      <c r="I55" s="52"/>
      <c r="J55" s="52"/>
      <c r="K55" s="52"/>
      <c r="L55" s="58"/>
      <c r="M55" s="38"/>
      <c r="N55" s="38"/>
      <c r="O55" s="38"/>
      <c r="P55" s="38"/>
    </row>
    <row r="56" spans="1:22" s="2" customFormat="1" ht="15" customHeight="1" x14ac:dyDescent="0.15">
      <c r="A56" s="7" t="s">
        <v>157</v>
      </c>
      <c r="B56" s="8" t="s">
        <v>158</v>
      </c>
      <c r="C56" s="9" t="s">
        <v>159</v>
      </c>
      <c r="D56" s="10"/>
      <c r="E56" s="10">
        <v>93</v>
      </c>
      <c r="F56" s="10">
        <v>86</v>
      </c>
      <c r="G56" s="10">
        <v>100</v>
      </c>
      <c r="H56" s="10"/>
      <c r="I56" s="10"/>
      <c r="J56" s="10"/>
      <c r="K56" s="10"/>
      <c r="L56" s="10">
        <v>91</v>
      </c>
      <c r="N56" s="2">
        <f>E56*0.3+F56*0.5+G56*0.2+J56+K56</f>
        <v>90.9</v>
      </c>
      <c r="O56" s="2">
        <f>P56+Q56</f>
        <v>141</v>
      </c>
      <c r="P56" s="2">
        <v>54</v>
      </c>
      <c r="Q56" s="2">
        <v>87</v>
      </c>
      <c r="T56" s="2">
        <v>73.5</v>
      </c>
      <c r="V56" s="2">
        <f>L56*0.3+T56*0.7</f>
        <v>78.75</v>
      </c>
    </row>
    <row r="57" spans="1:22" s="2" customFormat="1" ht="15" customHeight="1" x14ac:dyDescent="0.15">
      <c r="A57" s="7" t="s">
        <v>160</v>
      </c>
      <c r="B57" s="35" t="s">
        <v>161</v>
      </c>
      <c r="C57" s="46" t="s">
        <v>162</v>
      </c>
      <c r="D57" s="10"/>
      <c r="E57" s="10">
        <v>53</v>
      </c>
      <c r="F57" s="10">
        <v>0</v>
      </c>
      <c r="G57" s="10">
        <v>82</v>
      </c>
      <c r="H57" s="10"/>
      <c r="I57" s="10"/>
      <c r="J57" s="10"/>
      <c r="K57" s="10"/>
      <c r="L57" s="47">
        <v>43</v>
      </c>
      <c r="M57" s="51"/>
      <c r="N57" s="2">
        <f>E57*0.3+F57*0.5+G57*0.2+J57+K57</f>
        <v>32.299999999999997</v>
      </c>
      <c r="O57" s="2">
        <f>P57+Q57</f>
        <v>0</v>
      </c>
      <c r="P57" s="43">
        <v>0</v>
      </c>
      <c r="Q57" s="2">
        <v>0</v>
      </c>
      <c r="T57" s="2">
        <v>67.5</v>
      </c>
      <c r="V57" s="2">
        <f>L57*0.3+T57*0.7</f>
        <v>60.15</v>
      </c>
    </row>
    <row r="58" spans="1:22" s="3" customFormat="1" ht="12" x14ac:dyDescent="0.15">
      <c r="B58" s="11"/>
      <c r="C58" s="12"/>
    </row>
    <row r="59" spans="1:22" x14ac:dyDescent="0.15">
      <c r="A59" s="66" t="s">
        <v>10</v>
      </c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32"/>
      <c r="N59" s="32"/>
      <c r="O59" s="32"/>
      <c r="P59" s="32"/>
      <c r="Q59" s="20"/>
    </row>
    <row r="60" spans="1:22" x14ac:dyDescent="0.15">
      <c r="A60" s="67" t="s">
        <v>11</v>
      </c>
      <c r="B60" s="68"/>
      <c r="C60" s="6" t="s">
        <v>12</v>
      </c>
      <c r="D60" s="6" t="s">
        <v>13</v>
      </c>
      <c r="E60" s="6" t="s">
        <v>14</v>
      </c>
      <c r="F60" s="6" t="s">
        <v>15</v>
      </c>
      <c r="G60" s="6" t="s">
        <v>16</v>
      </c>
      <c r="H60" s="67" t="s">
        <v>17</v>
      </c>
      <c r="I60" s="69"/>
      <c r="J60" s="68"/>
      <c r="K60" s="70" t="s">
        <v>18</v>
      </c>
      <c r="L60" s="70"/>
      <c r="M60" s="41"/>
      <c r="N60" s="41"/>
      <c r="O60" s="41"/>
      <c r="P60" s="41"/>
      <c r="Q60" s="21"/>
    </row>
    <row r="61" spans="1:22" x14ac:dyDescent="0.15">
      <c r="A61" s="62"/>
      <c r="B61" s="62"/>
      <c r="C61" s="13"/>
      <c r="D61" s="13"/>
      <c r="E61" s="13"/>
      <c r="F61" s="14"/>
      <c r="G61" s="14"/>
      <c r="H61" s="63"/>
      <c r="I61" s="64"/>
      <c r="J61" s="65"/>
      <c r="K61" s="62"/>
      <c r="L61" s="62"/>
      <c r="M61" s="42"/>
      <c r="N61" s="42"/>
      <c r="O61" s="42"/>
      <c r="P61" s="42"/>
    </row>
    <row r="62" spans="1:22" x14ac:dyDescent="0.15">
      <c r="B62" s="24"/>
      <c r="C62" s="25"/>
      <c r="D62" s="26"/>
    </row>
    <row r="64" spans="1:22" x14ac:dyDescent="0.15">
      <c r="B64" s="15" t="s">
        <v>19</v>
      </c>
      <c r="C64" s="16"/>
      <c r="D64" s="17"/>
      <c r="F64" s="15" t="s">
        <v>20</v>
      </c>
      <c r="H64" s="18"/>
      <c r="J64" s="17"/>
      <c r="K64" s="22"/>
      <c r="L64" s="22"/>
      <c r="M64" s="23"/>
      <c r="N64" s="23"/>
      <c r="O64" s="23"/>
      <c r="P64" s="23"/>
      <c r="Q64" s="23"/>
    </row>
  </sheetData>
  <mergeCells count="43">
    <mergeCell ref="A61:B61"/>
    <mergeCell ref="H61:J61"/>
    <mergeCell ref="K61:L61"/>
    <mergeCell ref="J54:J55"/>
    <mergeCell ref="K54:K55"/>
    <mergeCell ref="L53:L55"/>
    <mergeCell ref="A59:L59"/>
    <mergeCell ref="A60:B60"/>
    <mergeCell ref="H60:J60"/>
    <mergeCell ref="K60:L60"/>
    <mergeCell ref="D53:K53"/>
    <mergeCell ref="A53:A55"/>
    <mergeCell ref="B53:B55"/>
    <mergeCell ref="C53:C55"/>
    <mergeCell ref="D54:D55"/>
    <mergeCell ref="F54:F55"/>
    <mergeCell ref="C3:C5"/>
    <mergeCell ref="E4:E5"/>
    <mergeCell ref="F4:F5"/>
    <mergeCell ref="G4:G5"/>
    <mergeCell ref="K4:K5"/>
    <mergeCell ref="D4:D5"/>
    <mergeCell ref="A2:C2"/>
    <mergeCell ref="D2:F2"/>
    <mergeCell ref="G2:I2"/>
    <mergeCell ref="J2:L2"/>
    <mergeCell ref="A1:L1"/>
    <mergeCell ref="G54:G55"/>
    <mergeCell ref="H54:H55"/>
    <mergeCell ref="I54:I55"/>
    <mergeCell ref="E54:E55"/>
    <mergeCell ref="H4:H5"/>
    <mergeCell ref="I4:I5"/>
    <mergeCell ref="A51:Q51"/>
    <mergeCell ref="A52:C52"/>
    <mergeCell ref="D52:F52"/>
    <mergeCell ref="G52:I52"/>
    <mergeCell ref="J52:L52"/>
    <mergeCell ref="L3:L5"/>
    <mergeCell ref="J4:J5"/>
    <mergeCell ref="D3:K3"/>
    <mergeCell ref="A3:A5"/>
    <mergeCell ref="B3:B5"/>
  </mergeCells>
  <phoneticPr fontId="25" type="noConversion"/>
  <conditionalFormatting sqref="V6:V57">
    <cfRule type="cellIs" dxfId="0" priority="1" operator="lessThan">
      <formula>60</formula>
    </cfRule>
  </conditionalFormatting>
  <pageMargins left="0.10972222222222222" right="0.10972222222222222" top="0.38124999999999998" bottom="0.5" header="0.38124999999999998" footer="0.5"/>
  <pageSetup paperSize="9" orientation="portrait" horizontalDpi="300" verticalDpi="300" r:id="rId1"/>
  <rowBreaks count="1" manualBreakCount="1">
    <brk id="4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2569-1C96-4BE7-A87B-AB8ED5FDC4E3}">
  <sheetPr>
    <pageSetUpPr autoPageBreaks="0"/>
  </sheetPr>
  <dimension ref="A1"/>
  <sheetViews>
    <sheetView zoomScaleNormal="100" zoomScaleSheetLayoutView="100" workbookViewId="0"/>
  </sheetViews>
  <sheetFormatPr defaultColWidth="9" defaultRowHeight="14.25" x14ac:dyDescent="0.15"/>
  <sheetData/>
  <phoneticPr fontId="2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A4A9-9CEB-441E-A47D-26220627026F}">
  <sheetPr>
    <pageSetUpPr autoPageBreaks="0"/>
  </sheetPr>
  <dimension ref="A1"/>
  <sheetViews>
    <sheetView zoomScaleNormal="100" zoomScaleSheetLayoutView="100" workbookViewId="0"/>
  </sheetViews>
  <sheetFormatPr defaultColWidth="9" defaultRowHeight="14.25" x14ac:dyDescent="0.15"/>
  <sheetData/>
  <phoneticPr fontId="2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cn plaman</cp:lastModifiedBy>
  <dcterms:created xsi:type="dcterms:W3CDTF">1996-12-17T01:32:42Z</dcterms:created>
  <dcterms:modified xsi:type="dcterms:W3CDTF">2026-01-16T07:27:29Z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465142FB7E734200B7D22FC9451970B4_13</vt:lpwstr>
  </property>
  <property fmtid="{D5CDD505-2E9C-101B-9397-08002B2CF9AE}" pid="3" name="KSOProductBuildVer">
    <vt:lpwstr>2052-12.1.0.23125</vt:lpwstr>
  </property>
</Properties>
</file>